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"/>
    </mc:Choice>
  </mc:AlternateContent>
  <xr:revisionPtr revIDLastSave="0" documentId="13_ncr:1_{6A9728EB-0FEE-4A70-976C-E451B315A630}" xr6:coauthVersionLast="47" xr6:coauthVersionMax="47" xr10:uidLastSave="{00000000-0000-0000-0000-000000000000}"/>
  <bookViews>
    <workbookView xWindow="-108" yWindow="-108" windowWidth="23256" windowHeight="12576" activeTab="1" xr2:uid="{E2308F25-550D-40BD-A736-85A05EF6D662}"/>
  </bookViews>
  <sheets>
    <sheet name="Inicio" sheetId="4" r:id="rId1"/>
    <sheet name="Consolidado grupales" sheetId="1" r:id="rId2"/>
    <sheet name="Base individuos" sheetId="2" r:id="rId3"/>
    <sheet name="Hoja1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6" i="2"/>
  <c r="K125" i="1"/>
  <c r="E125" i="1"/>
  <c r="F125" i="1"/>
  <c r="G125" i="1"/>
  <c r="H125" i="1"/>
  <c r="D125" i="1"/>
  <c r="C125" i="1"/>
  <c r="I6" i="2" a="1"/>
  <c r="I6" i="2" s="1"/>
  <c r="I18" i="2" a="1"/>
  <c r="I18" i="2" s="1"/>
  <c r="I31" i="2"/>
  <c r="I41" i="2"/>
  <c r="I44" i="2" a="1"/>
  <c r="I44" i="2" s="1"/>
  <c r="I53" i="2"/>
  <c r="I67" i="2" a="1"/>
  <c r="I67" i="2" s="1"/>
  <c r="I68" i="2" a="1"/>
  <c r="I68" i="2" s="1"/>
  <c r="I77" i="2"/>
  <c r="I80" i="2"/>
  <c r="I90" i="2" a="1"/>
  <c r="I90" i="2" s="1"/>
  <c r="I91" i="2" a="1"/>
  <c r="I91" i="2"/>
  <c r="I114" i="2" a="1"/>
  <c r="I114" i="2"/>
  <c r="I117" i="2"/>
  <c r="I127" i="2"/>
  <c r="I137" i="2"/>
  <c r="I139" i="2" a="1"/>
  <c r="I139" i="2" s="1"/>
  <c r="I146" i="2" a="1"/>
  <c r="I146" i="2"/>
  <c r="I148" i="2" a="1"/>
  <c r="I148" i="2" s="1"/>
  <c r="I155" i="2" a="1"/>
  <c r="I155" i="2"/>
  <c r="I157" i="2"/>
  <c r="I184" i="2"/>
  <c r="I192" i="2" a="1"/>
  <c r="I192" i="2" s="1"/>
  <c r="I193" i="2"/>
  <c r="I215" i="2" a="1"/>
  <c r="I215" i="2" s="1"/>
  <c r="I221" i="2"/>
  <c r="I235" i="2" a="1"/>
  <c r="I235" i="2" s="1"/>
  <c r="I236" i="2" a="1"/>
  <c r="I236" i="2" s="1"/>
  <c r="I237" i="2"/>
  <c r="I243" i="2"/>
  <c r="I244" i="2" a="1"/>
  <c r="I244" i="2" s="1"/>
  <c r="I250" i="2" a="1"/>
  <c r="I250" i="2" s="1"/>
  <c r="I251" i="2" a="1"/>
  <c r="I251" i="2"/>
  <c r="I257" i="2"/>
  <c r="I258" i="2" a="1"/>
  <c r="I258" i="2" s="1"/>
  <c r="I269" i="2"/>
  <c r="I275" i="2"/>
  <c r="I276" i="2" a="1"/>
  <c r="I276" i="2" s="1"/>
  <c r="I281" i="2"/>
  <c r="I282" i="2" a="1"/>
  <c r="I282" i="2" s="1"/>
  <c r="I283" i="2" a="1"/>
  <c r="I283" i="2" s="1"/>
  <c r="I289" i="2"/>
  <c r="I300" i="2" a="1"/>
  <c r="I300" i="2" s="1"/>
  <c r="I301" i="2"/>
  <c r="I306" i="2" a="1"/>
  <c r="I306" i="2"/>
  <c r="I307" i="2"/>
  <c r="I313" i="2"/>
  <c r="I324" i="2" a="1"/>
  <c r="I324" i="2"/>
  <c r="I330" i="2"/>
  <c r="I331" i="2" a="1"/>
  <c r="I331" i="2"/>
  <c r="I338" i="2" a="1"/>
  <c r="I338" i="2" s="1"/>
  <c r="I348" i="2"/>
  <c r="I349" i="2" a="1"/>
  <c r="I349" i="2"/>
  <c r="I354" i="2" a="1"/>
  <c r="I354" i="2" s="1"/>
  <c r="I355" i="2" a="1"/>
  <c r="I355" i="2" s="1"/>
  <c r="I364" i="2"/>
  <c r="I365" i="2" a="1"/>
  <c r="I365" i="2"/>
  <c r="I370" i="2" a="1"/>
  <c r="I370" i="2" s="1"/>
  <c r="I371" i="2" a="1"/>
  <c r="I371" i="2" s="1"/>
  <c r="I380" i="2" a="1"/>
  <c r="I380" i="2"/>
  <c r="I381" i="2" a="1"/>
  <c r="I381" i="2" s="1"/>
  <c r="I389" i="2" a="1"/>
  <c r="I389" i="2"/>
  <c r="I394" i="2" a="1"/>
  <c r="I394" i="2"/>
  <c r="I402" i="2" a="1"/>
  <c r="I402" i="2"/>
  <c r="I410" i="2" a="1"/>
  <c r="I410" i="2"/>
  <c r="I418" i="2" a="1"/>
  <c r="I418" i="2"/>
  <c r="I426" i="2" a="1"/>
  <c r="I426" i="2"/>
  <c r="I434" i="2" a="1"/>
  <c r="I434" i="2"/>
  <c r="I442" i="2" a="1"/>
  <c r="I442" i="2"/>
  <c r="I450" i="2" a="1"/>
  <c r="I450" i="2"/>
  <c r="I457" i="2"/>
  <c r="I458" i="2" a="1"/>
  <c r="I458" i="2" s="1"/>
  <c r="I466" i="2" a="1"/>
  <c r="I466" i="2" s="1"/>
  <c r="I474" i="2" a="1"/>
  <c r="I474" i="2"/>
  <c r="I481" i="2"/>
  <c r="I482" i="2" a="1"/>
  <c r="I482" i="2"/>
  <c r="I490" i="2" a="1"/>
  <c r="I490" i="2"/>
  <c r="I498" i="2" a="1"/>
  <c r="I498" i="2" s="1"/>
  <c r="A125" i="1"/>
  <c r="A5" i="2"/>
  <c r="I5" i="2" s="1" a="1"/>
  <c r="I5" i="2" s="1"/>
  <c r="A7" i="2"/>
  <c r="A8" i="2"/>
  <c r="A9" i="2"/>
  <c r="A10" i="2"/>
  <c r="I10" i="2" s="1" a="1"/>
  <c r="I10" i="2" s="1"/>
  <c r="A11" i="2"/>
  <c r="I11" i="2" s="1" a="1"/>
  <c r="I11" i="2" s="1"/>
  <c r="A12" i="2"/>
  <c r="I12" i="2" s="1" a="1"/>
  <c r="I12" i="2" s="1"/>
  <c r="A13" i="2"/>
  <c r="I13" i="2" s="1" a="1"/>
  <c r="I13" i="2" s="1"/>
  <c r="A14" i="2"/>
  <c r="I14" i="2" s="1" a="1"/>
  <c r="I14" i="2" s="1"/>
  <c r="A15" i="2"/>
  <c r="I15" i="2" s="1" a="1"/>
  <c r="I15" i="2" s="1"/>
  <c r="A16" i="2"/>
  <c r="I16" i="2" s="1" a="1"/>
  <c r="I16" i="2" s="1"/>
  <c r="A17" i="2"/>
  <c r="I17" i="2" s="1" a="1"/>
  <c r="I17" i="2" s="1"/>
  <c r="A18" i="2"/>
  <c r="A19" i="2"/>
  <c r="I19" i="2" s="1" a="1"/>
  <c r="I19" i="2" s="1"/>
  <c r="A20" i="2"/>
  <c r="I20" i="2" s="1" a="1"/>
  <c r="I20" i="2" s="1"/>
  <c r="A21" i="2"/>
  <c r="I21" i="2" s="1" a="1"/>
  <c r="I21" i="2" s="1"/>
  <c r="A22" i="2"/>
  <c r="I22" i="2" s="1" a="1"/>
  <c r="I22" i="2" s="1"/>
  <c r="A23" i="2"/>
  <c r="I23" i="2" s="1" a="1"/>
  <c r="I23" i="2" s="1"/>
  <c r="A24" i="2"/>
  <c r="I24" i="2" s="1" a="1"/>
  <c r="I24" i="2" s="1"/>
  <c r="A25" i="2"/>
  <c r="I25" i="2" s="1" a="1"/>
  <c r="I25" i="2" s="1"/>
  <c r="A26" i="2"/>
  <c r="I26" i="2" s="1" a="1"/>
  <c r="I26" i="2" s="1"/>
  <c r="A27" i="2"/>
  <c r="I27" i="2" s="1" a="1"/>
  <c r="I27" i="2" s="1"/>
  <c r="A28" i="2"/>
  <c r="I28" i="2" s="1" a="1"/>
  <c r="I28" i="2" s="1"/>
  <c r="A29" i="2"/>
  <c r="I29" i="2" s="1" a="1"/>
  <c r="I29" i="2" s="1"/>
  <c r="A30" i="2"/>
  <c r="I30" i="2" s="1" a="1"/>
  <c r="I30" i="2" s="1"/>
  <c r="A31" i="2"/>
  <c r="I31" i="2" s="1" a="1"/>
  <c r="A32" i="2"/>
  <c r="I32" i="2" s="1" a="1"/>
  <c r="I32" i="2" s="1"/>
  <c r="A33" i="2"/>
  <c r="I33" i="2" s="1" a="1"/>
  <c r="I33" i="2" s="1"/>
  <c r="A34" i="2"/>
  <c r="I34" i="2" s="1" a="1"/>
  <c r="I34" i="2" s="1"/>
  <c r="A35" i="2"/>
  <c r="I35" i="2" s="1" a="1"/>
  <c r="I35" i="2" s="1"/>
  <c r="A36" i="2"/>
  <c r="I36" i="2" s="1" a="1"/>
  <c r="I36" i="2" s="1"/>
  <c r="A37" i="2"/>
  <c r="I37" i="2" s="1" a="1"/>
  <c r="I37" i="2" s="1"/>
  <c r="A38" i="2"/>
  <c r="I38" i="2" s="1" a="1"/>
  <c r="I38" i="2" s="1"/>
  <c r="A39" i="2"/>
  <c r="I39" i="2" s="1" a="1"/>
  <c r="I39" i="2" s="1"/>
  <c r="A40" i="2"/>
  <c r="I40" i="2" s="1" a="1"/>
  <c r="I40" i="2" s="1"/>
  <c r="A41" i="2"/>
  <c r="I41" i="2" s="1" a="1"/>
  <c r="A42" i="2"/>
  <c r="I42" i="2" s="1" a="1"/>
  <c r="I42" i="2" s="1"/>
  <c r="A43" i="2"/>
  <c r="I43" i="2" s="1" a="1"/>
  <c r="I43" i="2" s="1"/>
  <c r="A44" i="2"/>
  <c r="A45" i="2"/>
  <c r="I45" i="2" s="1" a="1"/>
  <c r="I45" i="2" s="1"/>
  <c r="A46" i="2"/>
  <c r="I46" i="2" s="1" a="1"/>
  <c r="I46" i="2" s="1"/>
  <c r="A47" i="2"/>
  <c r="I47" i="2" s="1" a="1"/>
  <c r="I47" i="2" s="1"/>
  <c r="A48" i="2"/>
  <c r="I48" i="2" s="1" a="1"/>
  <c r="I48" i="2" s="1"/>
  <c r="A49" i="2"/>
  <c r="I49" i="2" s="1" a="1"/>
  <c r="I49" i="2" s="1"/>
  <c r="A50" i="2"/>
  <c r="I50" i="2" s="1" a="1"/>
  <c r="I50" i="2" s="1"/>
  <c r="A51" i="2"/>
  <c r="I51" i="2" s="1" a="1"/>
  <c r="I51" i="2" s="1"/>
  <c r="A52" i="2"/>
  <c r="I52" i="2" s="1" a="1"/>
  <c r="I52" i="2" s="1"/>
  <c r="A53" i="2"/>
  <c r="I53" i="2" s="1" a="1"/>
  <c r="A54" i="2"/>
  <c r="I54" i="2" s="1" a="1"/>
  <c r="I54" i="2" s="1"/>
  <c r="A55" i="2"/>
  <c r="I55" i="2" s="1" a="1"/>
  <c r="I55" i="2" s="1"/>
  <c r="A56" i="2"/>
  <c r="I56" i="2" s="1" a="1"/>
  <c r="I56" i="2" s="1"/>
  <c r="A57" i="2"/>
  <c r="I57" i="2" s="1" a="1"/>
  <c r="I57" i="2" s="1"/>
  <c r="A58" i="2"/>
  <c r="I58" i="2" s="1" a="1"/>
  <c r="I58" i="2" s="1"/>
  <c r="A59" i="2"/>
  <c r="I59" i="2" s="1" a="1"/>
  <c r="I59" i="2" s="1"/>
  <c r="A60" i="2"/>
  <c r="I60" i="2" s="1" a="1"/>
  <c r="I60" i="2" s="1"/>
  <c r="A61" i="2"/>
  <c r="I61" i="2" s="1" a="1"/>
  <c r="I61" i="2" s="1"/>
  <c r="A62" i="2"/>
  <c r="I62" i="2" s="1" a="1"/>
  <c r="I62" i="2" s="1"/>
  <c r="A63" i="2"/>
  <c r="I63" i="2" s="1" a="1"/>
  <c r="I63" i="2" s="1"/>
  <c r="A64" i="2"/>
  <c r="I64" i="2" s="1" a="1"/>
  <c r="I64" i="2" s="1"/>
  <c r="A65" i="2"/>
  <c r="I65" i="2" s="1" a="1"/>
  <c r="I65" i="2" s="1"/>
  <c r="A66" i="2"/>
  <c r="I66" i="2" s="1" a="1"/>
  <c r="I66" i="2" s="1"/>
  <c r="A67" i="2"/>
  <c r="A68" i="2"/>
  <c r="A69" i="2"/>
  <c r="I69" i="2" s="1" a="1"/>
  <c r="I69" i="2" s="1"/>
  <c r="A70" i="2"/>
  <c r="I70" i="2" s="1" a="1"/>
  <c r="I70" i="2" s="1"/>
  <c r="A71" i="2"/>
  <c r="I71" i="2" s="1" a="1"/>
  <c r="I71" i="2" s="1"/>
  <c r="A72" i="2"/>
  <c r="I72" i="2" s="1" a="1"/>
  <c r="I72" i="2" s="1"/>
  <c r="A73" i="2"/>
  <c r="I73" i="2" s="1" a="1"/>
  <c r="I73" i="2" s="1"/>
  <c r="A74" i="2"/>
  <c r="I74" i="2" s="1" a="1"/>
  <c r="I74" i="2" s="1"/>
  <c r="A75" i="2"/>
  <c r="I75" i="2" s="1" a="1"/>
  <c r="I75" i="2" s="1"/>
  <c r="A76" i="2"/>
  <c r="I76" i="2" s="1" a="1"/>
  <c r="I76" i="2" s="1"/>
  <c r="A77" i="2"/>
  <c r="I77" i="2" s="1" a="1"/>
  <c r="A78" i="2"/>
  <c r="I78" i="2" s="1" a="1"/>
  <c r="I78" i="2" s="1"/>
  <c r="A79" i="2"/>
  <c r="I79" i="2" s="1" a="1"/>
  <c r="I79" i="2" s="1"/>
  <c r="A80" i="2"/>
  <c r="I80" i="2" s="1" a="1"/>
  <c r="A81" i="2"/>
  <c r="I81" i="2" s="1" a="1"/>
  <c r="I81" i="2" s="1"/>
  <c r="A82" i="2"/>
  <c r="I82" i="2" s="1" a="1"/>
  <c r="I82" i="2" s="1"/>
  <c r="A83" i="2"/>
  <c r="I83" i="2" s="1" a="1"/>
  <c r="I83" i="2" s="1"/>
  <c r="A84" i="2"/>
  <c r="I84" i="2" s="1" a="1"/>
  <c r="I84" i="2" s="1"/>
  <c r="A85" i="2"/>
  <c r="I85" i="2" s="1" a="1"/>
  <c r="I85" i="2" s="1"/>
  <c r="A86" i="2"/>
  <c r="I86" i="2" s="1" a="1"/>
  <c r="I86" i="2" s="1"/>
  <c r="A87" i="2"/>
  <c r="I87" i="2" s="1" a="1"/>
  <c r="I87" i="2" s="1"/>
  <c r="A88" i="2"/>
  <c r="I88" i="2" s="1" a="1"/>
  <c r="I88" i="2" s="1"/>
  <c r="A89" i="2"/>
  <c r="I89" i="2" s="1" a="1"/>
  <c r="I89" i="2" s="1"/>
  <c r="A90" i="2"/>
  <c r="A91" i="2"/>
  <c r="A92" i="2"/>
  <c r="I92" i="2" s="1" a="1"/>
  <c r="I92" i="2" s="1"/>
  <c r="A93" i="2"/>
  <c r="I93" i="2" s="1" a="1"/>
  <c r="I93" i="2" s="1"/>
  <c r="A94" i="2"/>
  <c r="I94" i="2" s="1" a="1"/>
  <c r="I94" i="2" s="1"/>
  <c r="A95" i="2"/>
  <c r="I95" i="2" s="1" a="1"/>
  <c r="I95" i="2" s="1"/>
  <c r="A96" i="2"/>
  <c r="I96" i="2" s="1" a="1"/>
  <c r="I96" i="2" s="1"/>
  <c r="A97" i="2"/>
  <c r="I97" i="2" s="1" a="1"/>
  <c r="I97" i="2" s="1"/>
  <c r="A98" i="2"/>
  <c r="I98" i="2" s="1" a="1"/>
  <c r="I98" i="2" s="1"/>
  <c r="A99" i="2"/>
  <c r="I99" i="2" s="1" a="1"/>
  <c r="I99" i="2" s="1"/>
  <c r="A100" i="2"/>
  <c r="I100" i="2" s="1" a="1"/>
  <c r="I100" i="2" s="1"/>
  <c r="A101" i="2"/>
  <c r="I101" i="2" s="1" a="1"/>
  <c r="I101" i="2" s="1"/>
  <c r="A102" i="2"/>
  <c r="I102" i="2" s="1" a="1"/>
  <c r="I102" i="2" s="1"/>
  <c r="A103" i="2"/>
  <c r="I103" i="2" s="1" a="1"/>
  <c r="I103" i="2" s="1"/>
  <c r="A104" i="2"/>
  <c r="I104" i="2" s="1" a="1"/>
  <c r="I104" i="2" s="1"/>
  <c r="A105" i="2"/>
  <c r="I105" i="2" s="1" a="1"/>
  <c r="I105" i="2" s="1"/>
  <c r="A106" i="2"/>
  <c r="I106" i="2" s="1" a="1"/>
  <c r="I106" i="2" s="1"/>
  <c r="A107" i="2"/>
  <c r="I107" i="2" s="1" a="1"/>
  <c r="I107" i="2" s="1"/>
  <c r="A108" i="2"/>
  <c r="I108" i="2" s="1" a="1"/>
  <c r="I108" i="2" s="1"/>
  <c r="A109" i="2"/>
  <c r="I109" i="2" s="1" a="1"/>
  <c r="I109" i="2" s="1"/>
  <c r="A110" i="2"/>
  <c r="I110" i="2" s="1" a="1"/>
  <c r="I110" i="2" s="1"/>
  <c r="A111" i="2"/>
  <c r="I111" i="2" s="1" a="1"/>
  <c r="I111" i="2" s="1"/>
  <c r="A112" i="2"/>
  <c r="I112" i="2" s="1" a="1"/>
  <c r="I112" i="2" s="1"/>
  <c r="A113" i="2"/>
  <c r="I113" i="2" s="1" a="1"/>
  <c r="I113" i="2" s="1"/>
  <c r="A114" i="2"/>
  <c r="A115" i="2"/>
  <c r="I115" i="2" s="1" a="1"/>
  <c r="I115" i="2" s="1"/>
  <c r="A116" i="2"/>
  <c r="I116" i="2" s="1" a="1"/>
  <c r="I116" i="2" s="1"/>
  <c r="A117" i="2"/>
  <c r="I117" i="2" s="1" a="1"/>
  <c r="A118" i="2"/>
  <c r="I118" i="2" s="1" a="1"/>
  <c r="I118" i="2" s="1"/>
  <c r="A119" i="2"/>
  <c r="I119" i="2" s="1" a="1"/>
  <c r="I119" i="2" s="1"/>
  <c r="A120" i="2"/>
  <c r="I120" i="2" s="1" a="1"/>
  <c r="I120" i="2" s="1"/>
  <c r="A121" i="2"/>
  <c r="I121" i="2" s="1" a="1"/>
  <c r="I121" i="2" s="1"/>
  <c r="A122" i="2"/>
  <c r="I122" i="2" s="1" a="1"/>
  <c r="I122" i="2" s="1"/>
  <c r="A123" i="2"/>
  <c r="I123" i="2" s="1" a="1"/>
  <c r="I123" i="2" s="1"/>
  <c r="A124" i="2"/>
  <c r="I124" i="2" s="1" a="1"/>
  <c r="I124" i="2" s="1"/>
  <c r="A125" i="2"/>
  <c r="I125" i="2" s="1" a="1"/>
  <c r="I125" i="2" s="1"/>
  <c r="A126" i="2"/>
  <c r="I126" i="2" s="1" a="1"/>
  <c r="I126" i="2" s="1"/>
  <c r="A127" i="2"/>
  <c r="I127" i="2" s="1" a="1"/>
  <c r="A128" i="2"/>
  <c r="I128" i="2" s="1" a="1"/>
  <c r="I128" i="2" s="1"/>
  <c r="A129" i="2"/>
  <c r="I129" i="2" s="1" a="1"/>
  <c r="I129" i="2" s="1"/>
  <c r="A130" i="2"/>
  <c r="I130" i="2" s="1" a="1"/>
  <c r="I130" i="2" s="1"/>
  <c r="A131" i="2"/>
  <c r="I131" i="2" s="1" a="1"/>
  <c r="I131" i="2" s="1"/>
  <c r="A132" i="2"/>
  <c r="I132" i="2" s="1" a="1"/>
  <c r="I132" i="2" s="1"/>
  <c r="A133" i="2"/>
  <c r="I133" i="2" s="1" a="1"/>
  <c r="I133" i="2" s="1"/>
  <c r="A134" i="2"/>
  <c r="I134" i="2" s="1" a="1"/>
  <c r="I134" i="2" s="1"/>
  <c r="A135" i="2"/>
  <c r="I135" i="2" s="1" a="1"/>
  <c r="I135" i="2" s="1"/>
  <c r="A136" i="2"/>
  <c r="I136" i="2" s="1" a="1"/>
  <c r="I136" i="2" s="1"/>
  <c r="A137" i="2"/>
  <c r="I137" i="2" s="1" a="1"/>
  <c r="A138" i="2"/>
  <c r="I138" i="2" s="1" a="1"/>
  <c r="I138" i="2" s="1"/>
  <c r="A139" i="2"/>
  <c r="A140" i="2"/>
  <c r="I140" i="2" s="1" a="1"/>
  <c r="I140" i="2" s="1"/>
  <c r="A141" i="2"/>
  <c r="I141" i="2" s="1" a="1"/>
  <c r="I141" i="2" s="1"/>
  <c r="A142" i="2"/>
  <c r="I142" i="2" s="1" a="1"/>
  <c r="I142" i="2" s="1"/>
  <c r="A143" i="2"/>
  <c r="I143" i="2" s="1" a="1"/>
  <c r="I143" i="2" s="1"/>
  <c r="A144" i="2"/>
  <c r="I144" i="2" s="1" a="1"/>
  <c r="I144" i="2" s="1"/>
  <c r="A145" i="2"/>
  <c r="I145" i="2" s="1" a="1"/>
  <c r="I145" i="2" s="1"/>
  <c r="A146" i="2"/>
  <c r="A147" i="2"/>
  <c r="I147" i="2" s="1" a="1"/>
  <c r="I147" i="2" s="1"/>
  <c r="A148" i="2"/>
  <c r="A149" i="2"/>
  <c r="I149" i="2" s="1" a="1"/>
  <c r="I149" i="2" s="1"/>
  <c r="A150" i="2"/>
  <c r="I150" i="2" s="1" a="1"/>
  <c r="I150" i="2" s="1"/>
  <c r="A151" i="2"/>
  <c r="I151" i="2" s="1" a="1"/>
  <c r="I151" i="2" s="1"/>
  <c r="A152" i="2"/>
  <c r="I152" i="2" s="1" a="1"/>
  <c r="I152" i="2" s="1"/>
  <c r="A153" i="2"/>
  <c r="I153" i="2" s="1" a="1"/>
  <c r="I153" i="2" s="1"/>
  <c r="A154" i="2"/>
  <c r="I154" i="2" s="1" a="1"/>
  <c r="I154" i="2" s="1"/>
  <c r="A155" i="2"/>
  <c r="A156" i="2"/>
  <c r="I156" i="2" s="1" a="1"/>
  <c r="I156" i="2" s="1"/>
  <c r="A157" i="2"/>
  <c r="I157" i="2" s="1" a="1"/>
  <c r="A158" i="2"/>
  <c r="I158" i="2" s="1" a="1"/>
  <c r="I158" i="2" s="1"/>
  <c r="A159" i="2"/>
  <c r="I159" i="2" s="1" a="1"/>
  <c r="I159" i="2" s="1"/>
  <c r="A160" i="2"/>
  <c r="I160" i="2" s="1" a="1"/>
  <c r="I160" i="2" s="1"/>
  <c r="A161" i="2"/>
  <c r="I161" i="2" s="1" a="1"/>
  <c r="I161" i="2" s="1"/>
  <c r="A162" i="2"/>
  <c r="I162" i="2" s="1" a="1"/>
  <c r="I162" i="2" s="1"/>
  <c r="A163" i="2"/>
  <c r="I163" i="2" s="1" a="1"/>
  <c r="I163" i="2" s="1"/>
  <c r="A164" i="2"/>
  <c r="I164" i="2" s="1" a="1"/>
  <c r="I164" i="2" s="1"/>
  <c r="A165" i="2"/>
  <c r="I165" i="2" s="1" a="1"/>
  <c r="I165" i="2" s="1"/>
  <c r="A166" i="2"/>
  <c r="I166" i="2" s="1" a="1"/>
  <c r="I166" i="2" s="1"/>
  <c r="A167" i="2"/>
  <c r="I167" i="2" s="1" a="1"/>
  <c r="I167" i="2" s="1"/>
  <c r="A168" i="2"/>
  <c r="I168" i="2" s="1" a="1"/>
  <c r="I168" i="2" s="1"/>
  <c r="A169" i="2"/>
  <c r="I169" i="2" s="1" a="1"/>
  <c r="I169" i="2" s="1"/>
  <c r="A170" i="2"/>
  <c r="I170" i="2" s="1" a="1"/>
  <c r="I170" i="2" s="1"/>
  <c r="A171" i="2"/>
  <c r="I171" i="2" s="1" a="1"/>
  <c r="I171" i="2" s="1"/>
  <c r="A172" i="2"/>
  <c r="I172" i="2" s="1" a="1"/>
  <c r="I172" i="2" s="1"/>
  <c r="A173" i="2"/>
  <c r="I173" i="2" s="1" a="1"/>
  <c r="I173" i="2" s="1"/>
  <c r="A174" i="2"/>
  <c r="I174" i="2" s="1" a="1"/>
  <c r="I174" i="2" s="1"/>
  <c r="A175" i="2"/>
  <c r="I175" i="2" s="1" a="1"/>
  <c r="I175" i="2" s="1"/>
  <c r="A176" i="2"/>
  <c r="I176" i="2" s="1" a="1"/>
  <c r="I176" i="2" s="1"/>
  <c r="A177" i="2"/>
  <c r="I177" i="2" s="1" a="1"/>
  <c r="I177" i="2" s="1"/>
  <c r="A178" i="2"/>
  <c r="I178" i="2" s="1" a="1"/>
  <c r="I178" i="2" s="1"/>
  <c r="A179" i="2"/>
  <c r="I179" i="2" s="1" a="1"/>
  <c r="I179" i="2" s="1"/>
  <c r="A180" i="2"/>
  <c r="I180" i="2" s="1" a="1"/>
  <c r="I180" i="2" s="1"/>
  <c r="A181" i="2"/>
  <c r="I181" i="2" s="1" a="1"/>
  <c r="I181" i="2" s="1"/>
  <c r="A182" i="2"/>
  <c r="I182" i="2" s="1" a="1"/>
  <c r="I182" i="2" s="1"/>
  <c r="A183" i="2"/>
  <c r="I183" i="2" s="1" a="1"/>
  <c r="I183" i="2" s="1"/>
  <c r="A184" i="2"/>
  <c r="I184" i="2" s="1" a="1"/>
  <c r="A185" i="2"/>
  <c r="I185" i="2" s="1" a="1"/>
  <c r="I185" i="2" s="1"/>
  <c r="A186" i="2"/>
  <c r="I186" i="2" s="1" a="1"/>
  <c r="I186" i="2" s="1"/>
  <c r="A187" i="2"/>
  <c r="I187" i="2" s="1" a="1"/>
  <c r="I187" i="2" s="1"/>
  <c r="A188" i="2"/>
  <c r="I188" i="2" s="1" a="1"/>
  <c r="I188" i="2" s="1"/>
  <c r="A189" i="2"/>
  <c r="I189" i="2" s="1" a="1"/>
  <c r="I189" i="2" s="1"/>
  <c r="A190" i="2"/>
  <c r="I190" i="2" s="1" a="1"/>
  <c r="I190" i="2" s="1"/>
  <c r="A191" i="2"/>
  <c r="I191" i="2" s="1" a="1"/>
  <c r="I191" i="2" s="1"/>
  <c r="A192" i="2"/>
  <c r="A193" i="2"/>
  <c r="I193" i="2" s="1" a="1"/>
  <c r="A194" i="2"/>
  <c r="I194" i="2" s="1" a="1"/>
  <c r="I194" i="2" s="1"/>
  <c r="A195" i="2"/>
  <c r="I195" i="2" s="1" a="1"/>
  <c r="I195" i="2" s="1"/>
  <c r="A196" i="2"/>
  <c r="I196" i="2" s="1" a="1"/>
  <c r="I196" i="2" s="1"/>
  <c r="A197" i="2"/>
  <c r="I197" i="2" s="1" a="1"/>
  <c r="I197" i="2" s="1"/>
  <c r="A198" i="2"/>
  <c r="I198" i="2" s="1" a="1"/>
  <c r="I198" i="2" s="1"/>
  <c r="A199" i="2"/>
  <c r="I199" i="2" s="1" a="1"/>
  <c r="I199" i="2" s="1"/>
  <c r="A200" i="2"/>
  <c r="I200" i="2" s="1" a="1"/>
  <c r="I200" i="2" s="1"/>
  <c r="A201" i="2"/>
  <c r="I201" i="2" s="1" a="1"/>
  <c r="I201" i="2" s="1"/>
  <c r="A202" i="2"/>
  <c r="I202" i="2" s="1" a="1"/>
  <c r="I202" i="2" s="1"/>
  <c r="A203" i="2"/>
  <c r="I203" i="2" s="1" a="1"/>
  <c r="I203" i="2" s="1"/>
  <c r="A204" i="2"/>
  <c r="I204" i="2" s="1" a="1"/>
  <c r="I204" i="2" s="1"/>
  <c r="A205" i="2"/>
  <c r="I205" i="2" s="1" a="1"/>
  <c r="I205" i="2" s="1"/>
  <c r="A206" i="2"/>
  <c r="I206" i="2" s="1" a="1"/>
  <c r="I206" i="2" s="1"/>
  <c r="A207" i="2"/>
  <c r="I207" i="2" s="1" a="1"/>
  <c r="I207" i="2" s="1"/>
  <c r="A208" i="2"/>
  <c r="I208" i="2" s="1" a="1"/>
  <c r="I208" i="2" s="1"/>
  <c r="A209" i="2"/>
  <c r="I209" i="2" s="1" a="1"/>
  <c r="I209" i="2" s="1"/>
  <c r="A210" i="2"/>
  <c r="I210" i="2" s="1" a="1"/>
  <c r="I210" i="2" s="1"/>
  <c r="A211" i="2"/>
  <c r="I211" i="2" s="1" a="1"/>
  <c r="I211" i="2" s="1"/>
  <c r="A212" i="2"/>
  <c r="I212" i="2" s="1" a="1"/>
  <c r="I212" i="2" s="1"/>
  <c r="A213" i="2"/>
  <c r="I213" i="2" s="1" a="1"/>
  <c r="I213" i="2" s="1"/>
  <c r="A214" i="2"/>
  <c r="I214" i="2" s="1" a="1"/>
  <c r="I214" i="2" s="1"/>
  <c r="A215" i="2"/>
  <c r="A216" i="2"/>
  <c r="I216" i="2" s="1" a="1"/>
  <c r="I216" i="2" s="1"/>
  <c r="A217" i="2"/>
  <c r="I217" i="2" s="1" a="1"/>
  <c r="I217" i="2" s="1"/>
  <c r="A218" i="2"/>
  <c r="I218" i="2" s="1" a="1"/>
  <c r="I218" i="2" s="1"/>
  <c r="A219" i="2"/>
  <c r="I219" i="2" s="1" a="1"/>
  <c r="I219" i="2" s="1"/>
  <c r="A220" i="2"/>
  <c r="I220" i="2" s="1" a="1"/>
  <c r="I220" i="2" s="1"/>
  <c r="A221" i="2"/>
  <c r="I221" i="2" s="1" a="1"/>
  <c r="A222" i="2"/>
  <c r="I222" i="2" s="1" a="1"/>
  <c r="I222" i="2" s="1"/>
  <c r="A223" i="2"/>
  <c r="I223" i="2" s="1" a="1"/>
  <c r="I223" i="2" s="1"/>
  <c r="A224" i="2"/>
  <c r="I224" i="2" s="1" a="1"/>
  <c r="I224" i="2" s="1"/>
  <c r="A225" i="2"/>
  <c r="I225" i="2" s="1" a="1"/>
  <c r="I225" i="2" s="1"/>
  <c r="A226" i="2"/>
  <c r="I226" i="2" s="1" a="1"/>
  <c r="I226" i="2" s="1"/>
  <c r="A227" i="2"/>
  <c r="I227" i="2" s="1" a="1"/>
  <c r="I227" i="2" s="1"/>
  <c r="A228" i="2"/>
  <c r="I228" i="2" s="1" a="1"/>
  <c r="I228" i="2" s="1"/>
  <c r="A229" i="2"/>
  <c r="I229" i="2" s="1" a="1"/>
  <c r="I229" i="2" s="1"/>
  <c r="A230" i="2"/>
  <c r="I230" i="2" s="1" a="1"/>
  <c r="I230" i="2" s="1"/>
  <c r="A231" i="2"/>
  <c r="I231" i="2" s="1" a="1"/>
  <c r="I231" i="2" s="1"/>
  <c r="A232" i="2"/>
  <c r="I232" i="2" s="1" a="1"/>
  <c r="I232" i="2" s="1"/>
  <c r="A233" i="2"/>
  <c r="I233" i="2" s="1" a="1"/>
  <c r="I233" i="2" s="1"/>
  <c r="A234" i="2"/>
  <c r="I234" i="2" s="1" a="1"/>
  <c r="I234" i="2" s="1"/>
  <c r="A235" i="2"/>
  <c r="A236" i="2"/>
  <c r="A237" i="2"/>
  <c r="I237" i="2" s="1" a="1"/>
  <c r="A238" i="2"/>
  <c r="I238" i="2" s="1" a="1"/>
  <c r="I238" i="2" s="1"/>
  <c r="A239" i="2"/>
  <c r="I239" i="2" s="1" a="1"/>
  <c r="I239" i="2" s="1"/>
  <c r="A240" i="2"/>
  <c r="I240" i="2" s="1" a="1"/>
  <c r="I240" i="2" s="1"/>
  <c r="A241" i="2"/>
  <c r="I241" i="2" s="1" a="1"/>
  <c r="I241" i="2" s="1"/>
  <c r="A242" i="2"/>
  <c r="I242" i="2" s="1" a="1"/>
  <c r="I242" i="2" s="1"/>
  <c r="A243" i="2"/>
  <c r="I243" i="2" s="1" a="1"/>
  <c r="A244" i="2"/>
  <c r="A245" i="2"/>
  <c r="I245" i="2" s="1" a="1"/>
  <c r="I245" i="2" s="1"/>
  <c r="A246" i="2"/>
  <c r="I246" i="2" s="1" a="1"/>
  <c r="I246" i="2" s="1"/>
  <c r="A247" i="2"/>
  <c r="I247" i="2" s="1" a="1"/>
  <c r="I247" i="2" s="1"/>
  <c r="A248" i="2"/>
  <c r="I248" i="2" s="1" a="1"/>
  <c r="I248" i="2" s="1"/>
  <c r="A249" i="2"/>
  <c r="I249" i="2" s="1" a="1"/>
  <c r="I249" i="2" s="1"/>
  <c r="A250" i="2"/>
  <c r="A251" i="2"/>
  <c r="A252" i="2"/>
  <c r="I252" i="2" s="1" a="1"/>
  <c r="I252" i="2" s="1"/>
  <c r="A253" i="2"/>
  <c r="I253" i="2" s="1" a="1"/>
  <c r="I253" i="2" s="1"/>
  <c r="A254" i="2"/>
  <c r="I254" i="2" s="1" a="1"/>
  <c r="I254" i="2" s="1"/>
  <c r="A255" i="2"/>
  <c r="I255" i="2" s="1" a="1"/>
  <c r="I255" i="2" s="1"/>
  <c r="A256" i="2"/>
  <c r="I256" i="2" s="1" a="1"/>
  <c r="I256" i="2" s="1"/>
  <c r="A257" i="2"/>
  <c r="I257" i="2" s="1" a="1"/>
  <c r="A258" i="2"/>
  <c r="A259" i="2"/>
  <c r="I259" i="2" s="1" a="1"/>
  <c r="I259" i="2" s="1"/>
  <c r="A260" i="2"/>
  <c r="I260" i="2" s="1" a="1"/>
  <c r="I260" i="2" s="1"/>
  <c r="A261" i="2"/>
  <c r="I261" i="2" s="1" a="1"/>
  <c r="I261" i="2" s="1"/>
  <c r="A262" i="2"/>
  <c r="I262" i="2" s="1" a="1"/>
  <c r="I262" i="2" s="1"/>
  <c r="A263" i="2"/>
  <c r="I263" i="2" s="1" a="1"/>
  <c r="I263" i="2" s="1"/>
  <c r="A264" i="2"/>
  <c r="I264" i="2" s="1" a="1"/>
  <c r="I264" i="2" s="1"/>
  <c r="A265" i="2"/>
  <c r="I265" i="2" s="1" a="1"/>
  <c r="I265" i="2" s="1"/>
  <c r="A266" i="2"/>
  <c r="I266" i="2" s="1" a="1"/>
  <c r="I266" i="2" s="1"/>
  <c r="A267" i="2"/>
  <c r="I267" i="2" s="1" a="1"/>
  <c r="I267" i="2" s="1"/>
  <c r="A268" i="2"/>
  <c r="I268" i="2" s="1" a="1"/>
  <c r="I268" i="2" s="1"/>
  <c r="A269" i="2"/>
  <c r="I269" i="2" s="1" a="1"/>
  <c r="A270" i="2"/>
  <c r="I270" i="2" s="1" a="1"/>
  <c r="I270" i="2" s="1"/>
  <c r="A271" i="2"/>
  <c r="I271" i="2" s="1" a="1"/>
  <c r="I271" i="2" s="1"/>
  <c r="A272" i="2"/>
  <c r="I272" i="2" s="1" a="1"/>
  <c r="I272" i="2" s="1"/>
  <c r="A273" i="2"/>
  <c r="I273" i="2" s="1" a="1"/>
  <c r="I273" i="2" s="1"/>
  <c r="A274" i="2"/>
  <c r="I274" i="2" s="1" a="1"/>
  <c r="I274" i="2" s="1"/>
  <c r="A275" i="2"/>
  <c r="I275" i="2" s="1" a="1"/>
  <c r="A276" i="2"/>
  <c r="A277" i="2"/>
  <c r="I277" i="2" s="1" a="1"/>
  <c r="I277" i="2" s="1"/>
  <c r="A278" i="2"/>
  <c r="I278" i="2" s="1" a="1"/>
  <c r="I278" i="2" s="1"/>
  <c r="A279" i="2"/>
  <c r="I279" i="2" s="1" a="1"/>
  <c r="I279" i="2" s="1"/>
  <c r="A280" i="2"/>
  <c r="I280" i="2" s="1" a="1"/>
  <c r="I280" i="2" s="1"/>
  <c r="A281" i="2"/>
  <c r="I281" i="2" s="1" a="1"/>
  <c r="A282" i="2"/>
  <c r="A283" i="2"/>
  <c r="A284" i="2"/>
  <c r="I284" i="2" s="1" a="1"/>
  <c r="I284" i="2" s="1"/>
  <c r="A285" i="2"/>
  <c r="I285" i="2" s="1" a="1"/>
  <c r="I285" i="2" s="1"/>
  <c r="A286" i="2"/>
  <c r="I286" i="2" s="1" a="1"/>
  <c r="I286" i="2" s="1"/>
  <c r="A287" i="2"/>
  <c r="I287" i="2" s="1" a="1"/>
  <c r="I287" i="2" s="1"/>
  <c r="A288" i="2"/>
  <c r="I288" i="2" s="1" a="1"/>
  <c r="I288" i="2" s="1"/>
  <c r="A289" i="2"/>
  <c r="I289" i="2" s="1" a="1"/>
  <c r="A290" i="2"/>
  <c r="I290" i="2" s="1" a="1"/>
  <c r="I290" i="2" s="1"/>
  <c r="A291" i="2"/>
  <c r="I291" i="2" s="1" a="1"/>
  <c r="I291" i="2" s="1"/>
  <c r="A292" i="2"/>
  <c r="I292" i="2" s="1" a="1"/>
  <c r="I292" i="2" s="1"/>
  <c r="A293" i="2"/>
  <c r="I293" i="2" s="1" a="1"/>
  <c r="I293" i="2" s="1"/>
  <c r="A294" i="2"/>
  <c r="I294" i="2" s="1" a="1"/>
  <c r="I294" i="2" s="1"/>
  <c r="A295" i="2"/>
  <c r="I295" i="2" s="1" a="1"/>
  <c r="I295" i="2" s="1"/>
  <c r="A296" i="2"/>
  <c r="I296" i="2" s="1" a="1"/>
  <c r="I296" i="2" s="1"/>
  <c r="A297" i="2"/>
  <c r="I297" i="2" s="1" a="1"/>
  <c r="I297" i="2" s="1"/>
  <c r="A298" i="2"/>
  <c r="I298" i="2" s="1" a="1"/>
  <c r="I298" i="2" s="1"/>
  <c r="A299" i="2"/>
  <c r="I299" i="2" s="1" a="1"/>
  <c r="I299" i="2" s="1"/>
  <c r="A300" i="2"/>
  <c r="A301" i="2"/>
  <c r="I301" i="2" s="1" a="1"/>
  <c r="A302" i="2"/>
  <c r="I302" i="2" s="1" a="1"/>
  <c r="I302" i="2" s="1"/>
  <c r="A303" i="2"/>
  <c r="I303" i="2" s="1" a="1"/>
  <c r="I303" i="2" s="1"/>
  <c r="A304" i="2"/>
  <c r="I304" i="2" s="1" a="1"/>
  <c r="I304" i="2" s="1"/>
  <c r="A305" i="2"/>
  <c r="I305" i="2" s="1" a="1"/>
  <c r="I305" i="2" s="1"/>
  <c r="A306" i="2"/>
  <c r="A307" i="2"/>
  <c r="I307" i="2" s="1" a="1"/>
  <c r="A308" i="2"/>
  <c r="I308" i="2" s="1" a="1"/>
  <c r="I308" i="2" s="1"/>
  <c r="A309" i="2"/>
  <c r="I309" i="2" s="1" a="1"/>
  <c r="I309" i="2" s="1"/>
  <c r="A310" i="2"/>
  <c r="I310" i="2" s="1" a="1"/>
  <c r="I310" i="2" s="1"/>
  <c r="A311" i="2"/>
  <c r="I311" i="2" s="1" a="1"/>
  <c r="I311" i="2" s="1"/>
  <c r="A312" i="2"/>
  <c r="I312" i="2" s="1" a="1"/>
  <c r="I312" i="2" s="1"/>
  <c r="A313" i="2"/>
  <c r="I313" i="2" s="1" a="1"/>
  <c r="A314" i="2"/>
  <c r="I314" i="2" s="1" a="1"/>
  <c r="I314" i="2" s="1"/>
  <c r="A315" i="2"/>
  <c r="I315" i="2" s="1" a="1"/>
  <c r="I315" i="2" s="1"/>
  <c r="A316" i="2"/>
  <c r="I316" i="2" s="1" a="1"/>
  <c r="I316" i="2" s="1"/>
  <c r="A317" i="2"/>
  <c r="I317" i="2" s="1" a="1"/>
  <c r="I317" i="2" s="1"/>
  <c r="A318" i="2"/>
  <c r="I318" i="2" s="1" a="1"/>
  <c r="I318" i="2" s="1"/>
  <c r="A319" i="2"/>
  <c r="I319" i="2" s="1" a="1"/>
  <c r="I319" i="2" s="1"/>
  <c r="A320" i="2"/>
  <c r="I320" i="2" s="1" a="1"/>
  <c r="I320" i="2" s="1"/>
  <c r="A321" i="2"/>
  <c r="I321" i="2" s="1" a="1"/>
  <c r="I321" i="2" s="1"/>
  <c r="A322" i="2"/>
  <c r="I322" i="2" s="1" a="1"/>
  <c r="I322" i="2" s="1"/>
  <c r="A323" i="2"/>
  <c r="I323" i="2" s="1" a="1"/>
  <c r="I323" i="2" s="1"/>
  <c r="A324" i="2"/>
  <c r="A325" i="2"/>
  <c r="I325" i="2" s="1" a="1"/>
  <c r="I325" i="2" s="1"/>
  <c r="A326" i="2"/>
  <c r="I326" i="2" s="1" a="1"/>
  <c r="I326" i="2" s="1"/>
  <c r="A327" i="2"/>
  <c r="I327" i="2" s="1" a="1"/>
  <c r="I327" i="2" s="1"/>
  <c r="A328" i="2"/>
  <c r="I328" i="2" s="1" a="1"/>
  <c r="I328" i="2" s="1"/>
  <c r="A329" i="2"/>
  <c r="I329" i="2" s="1" a="1"/>
  <c r="I329" i="2" s="1"/>
  <c r="A330" i="2"/>
  <c r="I330" i="2" s="1" a="1"/>
  <c r="A331" i="2"/>
  <c r="A332" i="2"/>
  <c r="I332" i="2" s="1" a="1"/>
  <c r="I332" i="2" s="1"/>
  <c r="A333" i="2"/>
  <c r="I333" i="2" s="1" a="1"/>
  <c r="I333" i="2" s="1"/>
  <c r="A334" i="2"/>
  <c r="I334" i="2" s="1" a="1"/>
  <c r="I334" i="2" s="1"/>
  <c r="A335" i="2"/>
  <c r="I335" i="2" s="1" a="1"/>
  <c r="I335" i="2" s="1"/>
  <c r="A336" i="2"/>
  <c r="I336" i="2" s="1" a="1"/>
  <c r="I336" i="2" s="1"/>
  <c r="A337" i="2"/>
  <c r="I337" i="2" s="1" a="1"/>
  <c r="I337" i="2" s="1"/>
  <c r="A338" i="2"/>
  <c r="A339" i="2"/>
  <c r="I339" i="2" s="1" a="1"/>
  <c r="I339" i="2" s="1"/>
  <c r="A340" i="2"/>
  <c r="I340" i="2" s="1" a="1"/>
  <c r="I340" i="2" s="1"/>
  <c r="A341" i="2"/>
  <c r="I341" i="2" s="1" a="1"/>
  <c r="I341" i="2" s="1"/>
  <c r="A342" i="2"/>
  <c r="I342" i="2" s="1" a="1"/>
  <c r="I342" i="2" s="1"/>
  <c r="A343" i="2"/>
  <c r="I343" i="2" s="1" a="1"/>
  <c r="I343" i="2" s="1"/>
  <c r="A344" i="2"/>
  <c r="I344" i="2" s="1" a="1"/>
  <c r="I344" i="2" s="1"/>
  <c r="A345" i="2"/>
  <c r="I345" i="2" s="1" a="1"/>
  <c r="I345" i="2" s="1"/>
  <c r="A346" i="2"/>
  <c r="I346" i="2" s="1" a="1"/>
  <c r="I346" i="2" s="1"/>
  <c r="A347" i="2"/>
  <c r="I347" i="2" s="1" a="1"/>
  <c r="I347" i="2" s="1"/>
  <c r="A348" i="2"/>
  <c r="I348" i="2" s="1" a="1"/>
  <c r="A349" i="2"/>
  <c r="A350" i="2"/>
  <c r="I350" i="2" s="1" a="1"/>
  <c r="I350" i="2" s="1"/>
  <c r="A351" i="2"/>
  <c r="I351" i="2" s="1" a="1"/>
  <c r="I351" i="2" s="1"/>
  <c r="A352" i="2"/>
  <c r="I352" i="2" s="1" a="1"/>
  <c r="I352" i="2" s="1"/>
  <c r="A353" i="2"/>
  <c r="I353" i="2" s="1" a="1"/>
  <c r="I353" i="2" s="1"/>
  <c r="A354" i="2"/>
  <c r="A355" i="2"/>
  <c r="A356" i="2"/>
  <c r="I356" i="2" s="1" a="1"/>
  <c r="I356" i="2" s="1"/>
  <c r="A357" i="2"/>
  <c r="I357" i="2" s="1" a="1"/>
  <c r="I357" i="2" s="1"/>
  <c r="A358" i="2"/>
  <c r="I358" i="2" s="1" a="1"/>
  <c r="I358" i="2" s="1"/>
  <c r="A359" i="2"/>
  <c r="I359" i="2" s="1" a="1"/>
  <c r="I359" i="2" s="1"/>
  <c r="A360" i="2"/>
  <c r="I360" i="2" s="1" a="1"/>
  <c r="I360" i="2" s="1"/>
  <c r="A361" i="2"/>
  <c r="I361" i="2" s="1" a="1"/>
  <c r="I361" i="2" s="1"/>
  <c r="A362" i="2"/>
  <c r="I362" i="2" s="1" a="1"/>
  <c r="I362" i="2" s="1"/>
  <c r="A363" i="2"/>
  <c r="I363" i="2" s="1" a="1"/>
  <c r="I363" i="2" s="1"/>
  <c r="A364" i="2"/>
  <c r="I364" i="2" s="1" a="1"/>
  <c r="A365" i="2"/>
  <c r="A366" i="2"/>
  <c r="I366" i="2" s="1" a="1"/>
  <c r="I366" i="2" s="1"/>
  <c r="A367" i="2"/>
  <c r="I367" i="2" s="1" a="1"/>
  <c r="I367" i="2" s="1"/>
  <c r="A368" i="2"/>
  <c r="I368" i="2" s="1" a="1"/>
  <c r="I368" i="2" s="1"/>
  <c r="A369" i="2"/>
  <c r="I369" i="2" s="1" a="1"/>
  <c r="I369" i="2" s="1"/>
  <c r="A370" i="2"/>
  <c r="A371" i="2"/>
  <c r="A372" i="2"/>
  <c r="I372" i="2" s="1" a="1"/>
  <c r="I372" i="2" s="1"/>
  <c r="A373" i="2"/>
  <c r="I373" i="2" s="1" a="1"/>
  <c r="I373" i="2" s="1"/>
  <c r="A374" i="2"/>
  <c r="I374" i="2" s="1" a="1"/>
  <c r="I374" i="2" s="1"/>
  <c r="A375" i="2"/>
  <c r="I375" i="2" s="1" a="1"/>
  <c r="I375" i="2" s="1"/>
  <c r="A376" i="2"/>
  <c r="I376" i="2" s="1" a="1"/>
  <c r="I376" i="2" s="1"/>
  <c r="A377" i="2"/>
  <c r="I377" i="2" s="1" a="1"/>
  <c r="I377" i="2" s="1"/>
  <c r="A378" i="2"/>
  <c r="I378" i="2" s="1" a="1"/>
  <c r="I378" i="2" s="1"/>
  <c r="A379" i="2"/>
  <c r="I379" i="2" s="1" a="1"/>
  <c r="I379" i="2" s="1"/>
  <c r="A380" i="2"/>
  <c r="A381" i="2"/>
  <c r="A382" i="2"/>
  <c r="I382" i="2" s="1" a="1"/>
  <c r="I382" i="2" s="1"/>
  <c r="A383" i="2"/>
  <c r="I383" i="2" s="1" a="1"/>
  <c r="I383" i="2" s="1"/>
  <c r="A384" i="2"/>
  <c r="I384" i="2" s="1" a="1"/>
  <c r="I384" i="2" s="1"/>
  <c r="A385" i="2"/>
  <c r="I385" i="2" s="1" a="1"/>
  <c r="I385" i="2" s="1"/>
  <c r="A386" i="2"/>
  <c r="I386" i="2" s="1" a="1"/>
  <c r="I386" i="2" s="1"/>
  <c r="A387" i="2"/>
  <c r="I387" i="2" s="1" a="1"/>
  <c r="I387" i="2" s="1"/>
  <c r="A388" i="2"/>
  <c r="I388" i="2" s="1" a="1"/>
  <c r="I388" i="2" s="1"/>
  <c r="A389" i="2"/>
  <c r="A390" i="2"/>
  <c r="I390" i="2" s="1" a="1"/>
  <c r="I390" i="2" s="1"/>
  <c r="A391" i="2"/>
  <c r="I391" i="2" s="1" a="1"/>
  <c r="I391" i="2" s="1"/>
  <c r="A392" i="2"/>
  <c r="I392" i="2" s="1" a="1"/>
  <c r="I392" i="2" s="1"/>
  <c r="A393" i="2"/>
  <c r="I393" i="2" s="1" a="1"/>
  <c r="I393" i="2" s="1"/>
  <c r="A394" i="2"/>
  <c r="A395" i="2"/>
  <c r="I395" i="2" s="1" a="1"/>
  <c r="I395" i="2" s="1"/>
  <c r="A396" i="2"/>
  <c r="I396" i="2" s="1" a="1"/>
  <c r="I396" i="2" s="1"/>
  <c r="A397" i="2"/>
  <c r="I397" i="2" s="1" a="1"/>
  <c r="I397" i="2" s="1"/>
  <c r="A398" i="2"/>
  <c r="I398" i="2" s="1" a="1"/>
  <c r="I398" i="2" s="1"/>
  <c r="A399" i="2"/>
  <c r="I399" i="2" s="1" a="1"/>
  <c r="I399" i="2" s="1"/>
  <c r="A400" i="2"/>
  <c r="I400" i="2" s="1" a="1"/>
  <c r="I400" i="2" s="1"/>
  <c r="A401" i="2"/>
  <c r="I401" i="2" s="1" a="1"/>
  <c r="I401" i="2" s="1"/>
  <c r="A402" i="2"/>
  <c r="A403" i="2"/>
  <c r="I403" i="2" s="1" a="1"/>
  <c r="I403" i="2" s="1"/>
  <c r="A404" i="2"/>
  <c r="I404" i="2" s="1" a="1"/>
  <c r="I404" i="2" s="1"/>
  <c r="A405" i="2"/>
  <c r="I405" i="2" s="1" a="1"/>
  <c r="I405" i="2" s="1"/>
  <c r="A406" i="2"/>
  <c r="I406" i="2" s="1" a="1"/>
  <c r="I406" i="2" s="1"/>
  <c r="A407" i="2"/>
  <c r="I407" i="2" s="1" a="1"/>
  <c r="I407" i="2" s="1"/>
  <c r="A408" i="2"/>
  <c r="I408" i="2" s="1" a="1"/>
  <c r="I408" i="2" s="1"/>
  <c r="A409" i="2"/>
  <c r="I409" i="2" s="1" a="1"/>
  <c r="I409" i="2" s="1"/>
  <c r="A410" i="2"/>
  <c r="A411" i="2"/>
  <c r="I411" i="2" s="1" a="1"/>
  <c r="I411" i="2" s="1"/>
  <c r="A412" i="2"/>
  <c r="I412" i="2" s="1" a="1"/>
  <c r="I412" i="2" s="1"/>
  <c r="A413" i="2"/>
  <c r="I413" i="2" s="1" a="1"/>
  <c r="I413" i="2" s="1"/>
  <c r="A414" i="2"/>
  <c r="I414" i="2" s="1" a="1"/>
  <c r="I414" i="2" s="1"/>
  <c r="A415" i="2"/>
  <c r="I415" i="2" s="1" a="1"/>
  <c r="I415" i="2" s="1"/>
  <c r="A416" i="2"/>
  <c r="I416" i="2" s="1" a="1"/>
  <c r="I416" i="2" s="1"/>
  <c r="A417" i="2"/>
  <c r="I417" i="2" s="1" a="1"/>
  <c r="I417" i="2" s="1"/>
  <c r="A418" i="2"/>
  <c r="A419" i="2"/>
  <c r="I419" i="2" s="1" a="1"/>
  <c r="I419" i="2" s="1"/>
  <c r="A420" i="2"/>
  <c r="I420" i="2" s="1" a="1"/>
  <c r="I420" i="2" s="1"/>
  <c r="A421" i="2"/>
  <c r="I421" i="2" s="1" a="1"/>
  <c r="I421" i="2" s="1"/>
  <c r="A422" i="2"/>
  <c r="I422" i="2" s="1" a="1"/>
  <c r="I422" i="2" s="1"/>
  <c r="A423" i="2"/>
  <c r="I423" i="2" s="1" a="1"/>
  <c r="I423" i="2" s="1"/>
  <c r="A424" i="2"/>
  <c r="I424" i="2" s="1" a="1"/>
  <c r="I424" i="2" s="1"/>
  <c r="A425" i="2"/>
  <c r="I425" i="2" s="1" a="1"/>
  <c r="I425" i="2" s="1"/>
  <c r="A426" i="2"/>
  <c r="A427" i="2"/>
  <c r="I427" i="2" s="1" a="1"/>
  <c r="I427" i="2" s="1"/>
  <c r="A428" i="2"/>
  <c r="I428" i="2" s="1" a="1"/>
  <c r="I428" i="2" s="1"/>
  <c r="A429" i="2"/>
  <c r="I429" i="2" s="1" a="1"/>
  <c r="I429" i="2" s="1"/>
  <c r="A430" i="2"/>
  <c r="I430" i="2" s="1" a="1"/>
  <c r="I430" i="2" s="1"/>
  <c r="A431" i="2"/>
  <c r="I431" i="2" s="1" a="1"/>
  <c r="I431" i="2" s="1"/>
  <c r="A432" i="2"/>
  <c r="I432" i="2" s="1" a="1"/>
  <c r="I432" i="2" s="1"/>
  <c r="A433" i="2"/>
  <c r="I433" i="2" s="1" a="1"/>
  <c r="I433" i="2" s="1"/>
  <c r="A434" i="2"/>
  <c r="A435" i="2"/>
  <c r="I435" i="2" s="1" a="1"/>
  <c r="I435" i="2" s="1"/>
  <c r="A436" i="2"/>
  <c r="I436" i="2" s="1" a="1"/>
  <c r="I436" i="2" s="1"/>
  <c r="A437" i="2"/>
  <c r="I437" i="2" s="1" a="1"/>
  <c r="I437" i="2" s="1"/>
  <c r="A438" i="2"/>
  <c r="I438" i="2" s="1" a="1"/>
  <c r="I438" i="2" s="1"/>
  <c r="A439" i="2"/>
  <c r="I439" i="2" s="1" a="1"/>
  <c r="I439" i="2" s="1"/>
  <c r="A440" i="2"/>
  <c r="I440" i="2" s="1" a="1"/>
  <c r="I440" i="2" s="1"/>
  <c r="A441" i="2"/>
  <c r="I441" i="2" s="1" a="1"/>
  <c r="I441" i="2" s="1"/>
  <c r="A442" i="2"/>
  <c r="A443" i="2"/>
  <c r="I443" i="2" s="1" a="1"/>
  <c r="I443" i="2" s="1"/>
  <c r="A444" i="2"/>
  <c r="I444" i="2" s="1" a="1"/>
  <c r="I444" i="2" s="1"/>
  <c r="A445" i="2"/>
  <c r="I445" i="2" s="1" a="1"/>
  <c r="I445" i="2" s="1"/>
  <c r="A446" i="2"/>
  <c r="I446" i="2" s="1" a="1"/>
  <c r="I446" i="2" s="1"/>
  <c r="A447" i="2"/>
  <c r="I447" i="2" s="1" a="1"/>
  <c r="I447" i="2" s="1"/>
  <c r="A448" i="2"/>
  <c r="I448" i="2" s="1" a="1"/>
  <c r="I448" i="2" s="1"/>
  <c r="A449" i="2"/>
  <c r="I449" i="2" s="1" a="1"/>
  <c r="I449" i="2" s="1"/>
  <c r="A450" i="2"/>
  <c r="A451" i="2"/>
  <c r="I451" i="2" s="1" a="1"/>
  <c r="I451" i="2" s="1"/>
  <c r="A452" i="2"/>
  <c r="I452" i="2" s="1" a="1"/>
  <c r="I452" i="2" s="1"/>
  <c r="A453" i="2"/>
  <c r="I453" i="2" s="1" a="1"/>
  <c r="I453" i="2" s="1"/>
  <c r="A454" i="2"/>
  <c r="I454" i="2" s="1" a="1"/>
  <c r="I454" i="2" s="1"/>
  <c r="A455" i="2"/>
  <c r="I455" i="2" s="1" a="1"/>
  <c r="I455" i="2" s="1"/>
  <c r="A456" i="2"/>
  <c r="I456" i="2" s="1" a="1"/>
  <c r="I456" i="2" s="1"/>
  <c r="A457" i="2"/>
  <c r="I457" i="2" s="1" a="1"/>
  <c r="A458" i="2"/>
  <c r="A459" i="2"/>
  <c r="I459" i="2" s="1" a="1"/>
  <c r="I459" i="2" s="1"/>
  <c r="A460" i="2"/>
  <c r="I460" i="2" s="1" a="1"/>
  <c r="I460" i="2" s="1"/>
  <c r="A461" i="2"/>
  <c r="I461" i="2" s="1" a="1"/>
  <c r="I461" i="2" s="1"/>
  <c r="A462" i="2"/>
  <c r="I462" i="2" s="1" a="1"/>
  <c r="I462" i="2" s="1"/>
  <c r="A463" i="2"/>
  <c r="I463" i="2" s="1" a="1"/>
  <c r="I463" i="2" s="1"/>
  <c r="A464" i="2"/>
  <c r="I464" i="2" s="1" a="1"/>
  <c r="I464" i="2" s="1"/>
  <c r="A465" i="2"/>
  <c r="I465" i="2" s="1" a="1"/>
  <c r="I465" i="2" s="1"/>
  <c r="A466" i="2"/>
  <c r="A467" i="2"/>
  <c r="I467" i="2" s="1" a="1"/>
  <c r="I467" i="2" s="1"/>
  <c r="A468" i="2"/>
  <c r="I468" i="2" s="1" a="1"/>
  <c r="I468" i="2" s="1"/>
  <c r="A469" i="2"/>
  <c r="I469" i="2" s="1" a="1"/>
  <c r="I469" i="2" s="1"/>
  <c r="A470" i="2"/>
  <c r="I470" i="2" s="1" a="1"/>
  <c r="I470" i="2" s="1"/>
  <c r="A471" i="2"/>
  <c r="I471" i="2" s="1" a="1"/>
  <c r="I471" i="2" s="1"/>
  <c r="A472" i="2"/>
  <c r="I472" i="2" s="1" a="1"/>
  <c r="I472" i="2" s="1"/>
  <c r="A473" i="2"/>
  <c r="I473" i="2" s="1" a="1"/>
  <c r="I473" i="2" s="1"/>
  <c r="A474" i="2"/>
  <c r="A475" i="2"/>
  <c r="I475" i="2" s="1" a="1"/>
  <c r="I475" i="2" s="1"/>
  <c r="A476" i="2"/>
  <c r="I476" i="2" s="1" a="1"/>
  <c r="I476" i="2" s="1"/>
  <c r="A477" i="2"/>
  <c r="I477" i="2" s="1" a="1"/>
  <c r="I477" i="2" s="1"/>
  <c r="A478" i="2"/>
  <c r="I478" i="2" s="1" a="1"/>
  <c r="I478" i="2" s="1"/>
  <c r="A479" i="2"/>
  <c r="I479" i="2" s="1" a="1"/>
  <c r="I479" i="2" s="1"/>
  <c r="A480" i="2"/>
  <c r="I480" i="2" s="1" a="1"/>
  <c r="I480" i="2" s="1"/>
  <c r="A481" i="2"/>
  <c r="I481" i="2" s="1" a="1"/>
  <c r="A482" i="2"/>
  <c r="A483" i="2"/>
  <c r="I483" i="2" s="1" a="1"/>
  <c r="I483" i="2" s="1"/>
  <c r="A484" i="2"/>
  <c r="I484" i="2" s="1" a="1"/>
  <c r="I484" i="2" s="1"/>
  <c r="A485" i="2"/>
  <c r="I485" i="2" s="1" a="1"/>
  <c r="I485" i="2" s="1"/>
  <c r="A486" i="2"/>
  <c r="I486" i="2" s="1" a="1"/>
  <c r="I486" i="2" s="1"/>
  <c r="A487" i="2"/>
  <c r="I487" i="2" s="1" a="1"/>
  <c r="I487" i="2" s="1"/>
  <c r="A488" i="2"/>
  <c r="I488" i="2" s="1" a="1"/>
  <c r="I488" i="2" s="1"/>
  <c r="A489" i="2"/>
  <c r="I489" i="2" s="1" a="1"/>
  <c r="I489" i="2" s="1"/>
  <c r="A490" i="2"/>
  <c r="A491" i="2"/>
  <c r="I491" i="2" s="1" a="1"/>
  <c r="I491" i="2" s="1"/>
  <c r="A492" i="2"/>
  <c r="I492" i="2" s="1" a="1"/>
  <c r="I492" i="2" s="1"/>
  <c r="A493" i="2"/>
  <c r="I493" i="2" s="1" a="1"/>
  <c r="I493" i="2" s="1"/>
  <c r="A494" i="2"/>
  <c r="I494" i="2" s="1" a="1"/>
  <c r="I494" i="2" s="1"/>
  <c r="A495" i="2"/>
  <c r="I495" i="2" s="1" a="1"/>
  <c r="I495" i="2" s="1"/>
  <c r="A496" i="2"/>
  <c r="I496" i="2" s="1" a="1"/>
  <c r="I496" i="2" s="1"/>
  <c r="A497" i="2"/>
  <c r="I497" i="2" s="1" a="1"/>
  <c r="I497" i="2" s="1"/>
  <c r="A498" i="2"/>
  <c r="A499" i="2"/>
  <c r="I499" i="2" s="1" a="1"/>
  <c r="I499" i="2" s="1"/>
  <c r="A500" i="2"/>
  <c r="I500" i="2" s="1" a="1"/>
  <c r="I500" i="2" s="1"/>
  <c r="A4" i="2"/>
  <c r="I4" i="2" s="1" a="1"/>
  <c r="I4" i="2" s="1"/>
  <c r="J125" i="1" l="1" a="1"/>
  <c r="J125" i="1" s="1"/>
  <c r="M12" i="1"/>
  <c r="M16" i="1"/>
  <c r="M17" i="1"/>
  <c r="M23" i="1"/>
  <c r="M25" i="1"/>
  <c r="M26" i="1"/>
  <c r="M31" i="1"/>
  <c r="M33" i="1"/>
  <c r="M34" i="1"/>
  <c r="M39" i="1"/>
  <c r="M41" i="1"/>
  <c r="M42" i="1"/>
  <c r="M47" i="1"/>
  <c r="M49" i="1"/>
  <c r="M50" i="1"/>
  <c r="M55" i="1"/>
  <c r="M57" i="1"/>
  <c r="M58" i="1"/>
  <c r="M63" i="1"/>
  <c r="M65" i="1"/>
  <c r="M66" i="1"/>
  <c r="M71" i="1"/>
  <c r="M73" i="1"/>
  <c r="M74" i="1"/>
  <c r="M79" i="1"/>
  <c r="M81" i="1"/>
  <c r="M82" i="1"/>
  <c r="M87" i="1"/>
  <c r="M89" i="1"/>
  <c r="M90" i="1"/>
  <c r="M95" i="1"/>
  <c r="M97" i="1"/>
  <c r="M98" i="1"/>
  <c r="M103" i="1"/>
  <c r="M105" i="1"/>
  <c r="M106" i="1"/>
  <c r="M111" i="1"/>
  <c r="M113" i="1"/>
  <c r="M114" i="1"/>
  <c r="M119" i="1"/>
  <c r="M121" i="1"/>
  <c r="M122" i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L13" i="1"/>
  <c r="M13" i="1" s="1"/>
  <c r="L14" i="1"/>
  <c r="M14" i="1" s="1"/>
  <c r="L15" i="1"/>
  <c r="M15" i="1" s="1"/>
  <c r="L16" i="1"/>
  <c r="L17" i="1"/>
  <c r="L18" i="1"/>
  <c r="M18" i="1" s="1"/>
  <c r="L19" i="1"/>
  <c r="M19" i="1" s="1"/>
  <c r="L20" i="1"/>
  <c r="M20" i="1" s="1"/>
  <c r="L21" i="1"/>
  <c r="M21" i="1" s="1"/>
  <c r="L22" i="1"/>
  <c r="M22" i="1" s="1"/>
  <c r="L23" i="1"/>
  <c r="L24" i="1"/>
  <c r="M24" i="1" s="1"/>
  <c r="L25" i="1"/>
  <c r="L26" i="1"/>
  <c r="L27" i="1"/>
  <c r="M27" i="1" s="1"/>
  <c r="L28" i="1"/>
  <c r="M28" i="1" s="1"/>
  <c r="L29" i="1"/>
  <c r="M29" i="1" s="1"/>
  <c r="L30" i="1"/>
  <c r="M30" i="1" s="1"/>
  <c r="L31" i="1"/>
  <c r="L32" i="1"/>
  <c r="M32" i="1" s="1"/>
  <c r="L33" i="1"/>
  <c r="L34" i="1"/>
  <c r="L35" i="1"/>
  <c r="M35" i="1" s="1"/>
  <c r="L36" i="1"/>
  <c r="M36" i="1" s="1"/>
  <c r="L37" i="1"/>
  <c r="M37" i="1" s="1"/>
  <c r="L38" i="1"/>
  <c r="M38" i="1" s="1"/>
  <c r="L39" i="1"/>
  <c r="L40" i="1"/>
  <c r="M40" i="1" s="1"/>
  <c r="L41" i="1"/>
  <c r="L42" i="1"/>
  <c r="L43" i="1"/>
  <c r="M43" i="1" s="1"/>
  <c r="L44" i="1"/>
  <c r="M44" i="1" s="1"/>
  <c r="L45" i="1"/>
  <c r="M45" i="1" s="1"/>
  <c r="L46" i="1"/>
  <c r="M46" i="1" s="1"/>
  <c r="L47" i="1"/>
  <c r="L48" i="1"/>
  <c r="M48" i="1" s="1"/>
  <c r="L49" i="1"/>
  <c r="L50" i="1"/>
  <c r="L51" i="1"/>
  <c r="M51" i="1" s="1"/>
  <c r="L52" i="1"/>
  <c r="M52" i="1" s="1"/>
  <c r="L53" i="1"/>
  <c r="M53" i="1" s="1"/>
  <c r="L54" i="1"/>
  <c r="M54" i="1" s="1"/>
  <c r="L55" i="1"/>
  <c r="L56" i="1"/>
  <c r="M56" i="1" s="1"/>
  <c r="L57" i="1"/>
  <c r="L58" i="1"/>
  <c r="L59" i="1"/>
  <c r="M59" i="1" s="1"/>
  <c r="L60" i="1"/>
  <c r="M60" i="1" s="1"/>
  <c r="L61" i="1"/>
  <c r="M61" i="1" s="1"/>
  <c r="L62" i="1"/>
  <c r="M62" i="1" s="1"/>
  <c r="L63" i="1"/>
  <c r="L64" i="1"/>
  <c r="M64" i="1" s="1"/>
  <c r="L65" i="1"/>
  <c r="L66" i="1"/>
  <c r="L67" i="1"/>
  <c r="M67" i="1" s="1"/>
  <c r="L68" i="1"/>
  <c r="M68" i="1" s="1"/>
  <c r="L69" i="1"/>
  <c r="M69" i="1" s="1"/>
  <c r="L70" i="1"/>
  <c r="M70" i="1" s="1"/>
  <c r="L71" i="1"/>
  <c r="L72" i="1"/>
  <c r="M72" i="1" s="1"/>
  <c r="L73" i="1"/>
  <c r="L74" i="1"/>
  <c r="L75" i="1"/>
  <c r="M75" i="1" s="1"/>
  <c r="L76" i="1"/>
  <c r="M76" i="1" s="1"/>
  <c r="L77" i="1"/>
  <c r="M77" i="1" s="1"/>
  <c r="L78" i="1"/>
  <c r="M78" i="1" s="1"/>
  <c r="L79" i="1"/>
  <c r="L80" i="1"/>
  <c r="M80" i="1" s="1"/>
  <c r="L81" i="1"/>
  <c r="L82" i="1"/>
  <c r="L83" i="1"/>
  <c r="M83" i="1" s="1"/>
  <c r="L84" i="1"/>
  <c r="M84" i="1" s="1"/>
  <c r="L85" i="1"/>
  <c r="M85" i="1" s="1"/>
  <c r="L86" i="1"/>
  <c r="M86" i="1" s="1"/>
  <c r="L87" i="1"/>
  <c r="L88" i="1"/>
  <c r="M88" i="1" s="1"/>
  <c r="L89" i="1"/>
  <c r="L90" i="1"/>
  <c r="L91" i="1"/>
  <c r="M91" i="1" s="1"/>
  <c r="L92" i="1"/>
  <c r="M92" i="1" s="1"/>
  <c r="L93" i="1"/>
  <c r="M93" i="1" s="1"/>
  <c r="L94" i="1"/>
  <c r="M94" i="1" s="1"/>
  <c r="L95" i="1"/>
  <c r="L96" i="1"/>
  <c r="M96" i="1" s="1"/>
  <c r="L97" i="1"/>
  <c r="L98" i="1"/>
  <c r="L99" i="1"/>
  <c r="M99" i="1" s="1"/>
  <c r="L100" i="1"/>
  <c r="M100" i="1" s="1"/>
  <c r="L101" i="1"/>
  <c r="M101" i="1" s="1"/>
  <c r="L102" i="1"/>
  <c r="M102" i="1" s="1"/>
  <c r="L103" i="1"/>
  <c r="L104" i="1"/>
  <c r="M104" i="1" s="1"/>
  <c r="L105" i="1"/>
  <c r="L106" i="1"/>
  <c r="L107" i="1"/>
  <c r="M107" i="1" s="1"/>
  <c r="L108" i="1"/>
  <c r="M108" i="1" s="1"/>
  <c r="L109" i="1"/>
  <c r="M109" i="1" s="1"/>
  <c r="L110" i="1"/>
  <c r="M110" i="1" s="1"/>
  <c r="L111" i="1"/>
  <c r="L112" i="1"/>
  <c r="M112" i="1" s="1"/>
  <c r="L113" i="1"/>
  <c r="L114" i="1"/>
  <c r="L115" i="1"/>
  <c r="M115" i="1" s="1"/>
  <c r="L116" i="1"/>
  <c r="M116" i="1" s="1"/>
  <c r="L117" i="1"/>
  <c r="M117" i="1" s="1"/>
  <c r="L118" i="1"/>
  <c r="M118" i="1" s="1"/>
  <c r="L119" i="1"/>
  <c r="L120" i="1"/>
  <c r="M120" i="1" s="1"/>
  <c r="L121" i="1"/>
  <c r="L122" i="1"/>
  <c r="L123" i="1"/>
  <c r="M123" i="1" s="1"/>
  <c r="L4" i="1"/>
  <c r="M4" i="1" s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4" i="1"/>
  <c r="I125" i="1" l="1"/>
  <c r="L125" i="1"/>
  <c r="M125" i="1" s="1"/>
</calcChain>
</file>

<file path=xl/sharedStrings.xml><?xml version="1.0" encoding="utf-8"?>
<sst xmlns="http://schemas.openxmlformats.org/spreadsheetml/2006/main" count="414" uniqueCount="335">
  <si>
    <t>Fecha</t>
  </si>
  <si>
    <t>Año</t>
  </si>
  <si>
    <t>Cantidad Caminantes</t>
  </si>
  <si>
    <t>Actividad(es)</t>
  </si>
  <si>
    <t>Senderismo</t>
  </si>
  <si>
    <t>Camping</t>
  </si>
  <si>
    <t>Investigación</t>
  </si>
  <si>
    <t>Siembra</t>
  </si>
  <si>
    <t>Invitados</t>
  </si>
  <si>
    <t>Ingreso</t>
  </si>
  <si>
    <t>Por persona</t>
  </si>
  <si>
    <t>Total</t>
  </si>
  <si>
    <t>Servicio Guía</t>
  </si>
  <si>
    <t>¿Primera vez que visita?</t>
  </si>
  <si>
    <t>¿Alguna vez ha sembrado un árbol?</t>
  </si>
  <si>
    <t>Edad</t>
  </si>
  <si>
    <t>Propósito visita</t>
  </si>
  <si>
    <t>Caminante</t>
  </si>
  <si>
    <t>15/01/17</t>
  </si>
  <si>
    <t>22/01/17</t>
  </si>
  <si>
    <t>29/01/17</t>
  </si>
  <si>
    <t>31/03/17</t>
  </si>
  <si>
    <t>18/04/17</t>
  </si>
  <si>
    <t>13/05/17</t>
  </si>
  <si>
    <t>28/05/17</t>
  </si>
  <si>
    <t>30/07/17</t>
  </si>
  <si>
    <t>20/08/17</t>
  </si>
  <si>
    <t>27/08/17</t>
  </si>
  <si>
    <t>15/10/17</t>
  </si>
  <si>
    <t>20/11/17</t>
  </si>
  <si>
    <t>23/11/17</t>
  </si>
  <si>
    <t>30/11/17</t>
  </si>
  <si>
    <t>26/12/17</t>
  </si>
  <si>
    <t>27/12/17</t>
  </si>
  <si>
    <t>16/02/18</t>
  </si>
  <si>
    <t>17/02/18</t>
  </si>
  <si>
    <t>25/02/18</t>
  </si>
  <si>
    <t>17/03/18</t>
  </si>
  <si>
    <t>19/03/18</t>
  </si>
  <si>
    <t>29/03/18</t>
  </si>
  <si>
    <t>30/03/18</t>
  </si>
  <si>
    <t>31/03/18</t>
  </si>
  <si>
    <t>17/04/18</t>
  </si>
  <si>
    <t>18/04/18</t>
  </si>
  <si>
    <t>20/04/18</t>
  </si>
  <si>
    <t>21/04/18</t>
  </si>
  <si>
    <t>24/04/18</t>
  </si>
  <si>
    <t>25/04/18</t>
  </si>
  <si>
    <t>30/04/18</t>
  </si>
  <si>
    <t>13/05/18</t>
  </si>
  <si>
    <t>18/05/18</t>
  </si>
  <si>
    <t>20/07/18</t>
  </si>
  <si>
    <t>28/07/18</t>
  </si>
  <si>
    <t>29/07/18</t>
  </si>
  <si>
    <t>15/09/18</t>
  </si>
  <si>
    <t>16/09/18</t>
  </si>
  <si>
    <t>22/09/18</t>
  </si>
  <si>
    <t>28/09/18</t>
  </si>
  <si>
    <t>29/09/18</t>
  </si>
  <si>
    <t>30/09/18</t>
  </si>
  <si>
    <t>26/10/18</t>
  </si>
  <si>
    <t>27/10/18</t>
  </si>
  <si>
    <t>23/11/18</t>
  </si>
  <si>
    <t>13/12/18</t>
  </si>
  <si>
    <t>16/12/18</t>
  </si>
  <si>
    <t>15/12/18</t>
  </si>
  <si>
    <t>18/12/18</t>
  </si>
  <si>
    <t>19/12/18</t>
  </si>
  <si>
    <t>26/12/18</t>
  </si>
  <si>
    <t>30/12/18</t>
  </si>
  <si>
    <t>16/03/18</t>
  </si>
  <si>
    <t>Nota</t>
  </si>
  <si>
    <t>Salida Sena</t>
  </si>
  <si>
    <t>Salida UDCA</t>
  </si>
  <si>
    <t>Ingreso neto</t>
  </si>
  <si>
    <t>Grupal</t>
  </si>
  <si>
    <t>Individual</t>
  </si>
  <si>
    <t>País</t>
  </si>
  <si>
    <t xml:space="preserve">Algeria </t>
  </si>
  <si>
    <t xml:space="preserve">American Samoa </t>
  </si>
  <si>
    <t xml:space="preserve">Andorra </t>
  </si>
  <si>
    <t xml:space="preserve">Angola </t>
  </si>
  <si>
    <t xml:space="preserve">Anguilla </t>
  </si>
  <si>
    <t xml:space="preserve">Antigua &amp; Barbuda </t>
  </si>
  <si>
    <t xml:space="preserve">Argentina </t>
  </si>
  <si>
    <t xml:space="preserve">Armenia </t>
  </si>
  <si>
    <t xml:space="preserve">Aruba </t>
  </si>
  <si>
    <t xml:space="preserve">Australia </t>
  </si>
  <si>
    <t xml:space="preserve">Austria </t>
  </si>
  <si>
    <t xml:space="preserve">Azerbaijan </t>
  </si>
  <si>
    <t xml:space="preserve">Bahamas, The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</si>
  <si>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</si>
  <si>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</si>
  <si>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</si>
  <si>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</si>
  <si>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</si>
  <si>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</si>
  <si>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</si>
  <si>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Bermuda </t>
  </si>
  <si>
    <t xml:space="preserve">Bhutan </t>
  </si>
  <si>
    <t xml:space="preserve">Bolivia </t>
  </si>
  <si>
    <t xml:space="preserve">Bosnia &amp; Herzegovina </t>
  </si>
  <si>
    <t xml:space="preserve">Botswana </t>
  </si>
  <si>
    <t xml:space="preserve">Brazil </t>
  </si>
  <si>
    <t xml:space="preserve">British Virgin Is. </t>
  </si>
  <si>
    <t xml:space="preserve">Brunei </t>
  </si>
  <si>
    <t xml:space="preserve">Bulgaria </t>
  </si>
  <si>
    <t xml:space="preserve">Burkina Faso </t>
  </si>
  <si>
    <t xml:space="preserve">Burma </t>
  </si>
  <si>
    <t xml:space="preserve">Burundi </t>
  </si>
  <si>
    <t xml:space="preserve">Cambodia </t>
  </si>
  <si>
    <t xml:space="preserve">Cameroon </t>
  </si>
  <si>
    <t xml:space="preserve">Canada </t>
  </si>
  <si>
    <t xml:space="preserve">Cape Verde </t>
  </si>
  <si>
    <t xml:space="preserve">Cayman Islands </t>
  </si>
  <si>
    <t xml:space="preserve">Central African Rep.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</si>
  <si>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</si>
  <si>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</si>
  <si>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</si>
  <si>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</si>
  <si>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</si>
  <si>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Congo, Dem. Rep. </t>
  </si>
  <si>
    <t xml:space="preserve">Congo, Repub. of the </t>
  </si>
  <si>
    <t xml:space="preserve">Cook Islands </t>
  </si>
  <si>
    <t xml:space="preserve">Costa Rica </t>
  </si>
  <si>
    <t xml:space="preserve">Cote d'Ivoire </t>
  </si>
  <si>
    <t xml:space="preserve">Croatia </t>
  </si>
  <si>
    <t xml:space="preserve">Cuba </t>
  </si>
  <si>
    <t xml:space="preserve">Cyprus </t>
  </si>
  <si>
    <t xml:space="preserve">Czech Republic </t>
  </si>
  <si>
    <t xml:space="preserve">Denmark </t>
  </si>
  <si>
    <t xml:space="preserve">Djibouti </t>
  </si>
  <si>
    <t xml:space="preserve">Dominica </t>
  </si>
  <si>
    <t xml:space="preserve">Dominican Republic </t>
  </si>
  <si>
    <t xml:space="preserve">East Timor </t>
  </si>
  <si>
    <t xml:space="preserve">Ecuador </t>
  </si>
  <si>
    <t xml:space="preserve">Egypt </t>
  </si>
  <si>
    <t xml:space="preserve">El Salvador </t>
  </si>
  <si>
    <t xml:space="preserve">Equatorial Guinea </t>
  </si>
  <si>
    <t xml:space="preserve">Eritrea </t>
  </si>
  <si>
    <t xml:space="preserve">Estonia </t>
  </si>
  <si>
    <t xml:space="preserve">Ethiopia </t>
  </si>
  <si>
    <t xml:space="preserve">Faroe Islands </t>
  </si>
  <si>
    <t xml:space="preserve">Fiji </t>
  </si>
  <si>
    <t xml:space="preserve">Finland </t>
  </si>
  <si>
    <t xml:space="preserve">France </t>
  </si>
  <si>
    <t xml:space="preserve">French Guiana </t>
  </si>
  <si>
    <t xml:space="preserve">French Polynesia </t>
  </si>
  <si>
    <t xml:space="preserve">Gabon </t>
  </si>
  <si>
    <t xml:space="preserve">Gambia, The </t>
  </si>
  <si>
    <t xml:space="preserve">Gaza Strip </t>
  </si>
  <si>
    <t xml:space="preserve">Georgia </t>
  </si>
  <si>
    <t xml:space="preserve">Germany </t>
  </si>
  <si>
    <t xml:space="preserve">Ghana </t>
  </si>
  <si>
    <t xml:space="preserve">Gibraltar </t>
  </si>
  <si>
    <t xml:space="preserve">Greece </t>
  </si>
  <si>
    <t xml:space="preserve">Greenland </t>
  </si>
  <si>
    <t xml:space="preserve">Grenada </t>
  </si>
  <si>
    <t xml:space="preserve">Guadeloupe </t>
  </si>
  <si>
    <t xml:space="preserve">Guam </t>
  </si>
  <si>
    <t xml:space="preserve">Guatemala </t>
  </si>
  <si>
    <t xml:space="preserve">Guernsey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</si>
  <si>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</si>
  <si>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</si>
  <si>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</si>
  <si>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</si>
  <si>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</si>
  <si>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Hong Kong </t>
  </si>
  <si>
    <t xml:space="preserve">Hungary </t>
  </si>
  <si>
    <t xml:space="preserve">Iceland </t>
  </si>
  <si>
    <t xml:space="preserve">India </t>
  </si>
  <si>
    <t xml:space="preserve">Indonesia </t>
  </si>
  <si>
    <t xml:space="preserve">Iran </t>
  </si>
  <si>
    <t xml:space="preserve">Iraq </t>
  </si>
  <si>
    <t xml:space="preserve">Ireland </t>
  </si>
  <si>
    <t xml:space="preserve">Isle of Man </t>
  </si>
  <si>
    <t xml:space="preserve">Israel </t>
  </si>
  <si>
    <t xml:space="preserve">Italy </t>
  </si>
  <si>
    <t xml:space="preserve">Jamaica </t>
  </si>
  <si>
    <t xml:space="preserve">Japan </t>
  </si>
  <si>
    <t xml:space="preserve">Jersey </t>
  </si>
  <si>
    <t xml:space="preserve">Jordan </t>
  </si>
  <si>
    <t xml:space="preserve">Kazakhstan </t>
  </si>
  <si>
    <t xml:space="preserve">Kenya </t>
  </si>
  <si>
    <t xml:space="preserve">Kiribati </t>
  </si>
  <si>
    <t xml:space="preserve">Korea, North </t>
  </si>
  <si>
    <t xml:space="preserve">Korea, South </t>
  </si>
  <si>
    <t xml:space="preserve">Kuwait </t>
  </si>
  <si>
    <t xml:space="preserve">Kyrgyzstan </t>
  </si>
  <si>
    <t xml:space="preserve">Laos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</si>
  <si>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</si>
  <si>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</si>
  <si>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</si>
  <si>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</si>
  <si>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</si>
  <si>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</si>
  <si>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</si>
  <si>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</si>
  <si>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Macau </t>
  </si>
  <si>
    <t xml:space="preserve">Macedonia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</si>
  <si>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</si>
  <si>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</si>
  <si>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</si>
  <si>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</si>
  <si>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</si>
  <si>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</si>
  <si>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 Islands </t>
  </si>
  <si>
    <t xml:space="preserve">Martinique </t>
  </si>
  <si>
    <t xml:space="preserve">Mauritania </t>
  </si>
  <si>
    <t xml:space="preserve">Mauritius </t>
  </si>
  <si>
    <t xml:space="preserve">Mayotte </t>
  </si>
  <si>
    <t xml:space="preserve">Mexico </t>
  </si>
  <si>
    <t xml:space="preserve">Micronesia, Fed. St. </t>
  </si>
  <si>
    <t xml:space="preserve">Moldova </t>
  </si>
  <si>
    <t xml:space="preserve">Monaco </t>
  </si>
  <si>
    <t xml:space="preserve">Mongolia </t>
  </si>
  <si>
    <t xml:space="preserve">Montserrat </t>
  </si>
  <si>
    <t xml:space="preserve">Morocco </t>
  </si>
  <si>
    <t xml:space="preserve">Mozambique </t>
  </si>
  <si>
    <t xml:space="preserve">Namibia </t>
  </si>
  <si>
    <t xml:space="preserve">Nauru </t>
  </si>
  <si>
    <t xml:space="preserve">Nepal </t>
  </si>
  <si>
    <t xml:space="preserve">Netherlands </t>
  </si>
  <si>
    <t xml:space="preserve">Netherlands Antilles </t>
  </si>
  <si>
    <t xml:space="preserve">New Caledonia </t>
  </si>
  <si>
    <t xml:space="preserve">New Zealand </t>
  </si>
  <si>
    <t xml:space="preserve">Nicaragua </t>
  </si>
  <si>
    <t xml:space="preserve">Niger </t>
  </si>
  <si>
    <t xml:space="preserve">Nigeria </t>
  </si>
  <si>
    <t xml:space="preserve">N. Mariana Islands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</si>
  <si>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</si>
  <si>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</si>
  <si>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</si>
  <si>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</si>
  <si>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</si>
  <si>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 New 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</si>
  <si>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</si>
  <si>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</si>
  <si>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</si>
  <si>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</si>
  <si>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</si>
  <si>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Puerto Rico </t>
  </si>
  <si>
    <t xml:space="preserve">Qatar </t>
  </si>
  <si>
    <t xml:space="preserve">Reunion </t>
  </si>
  <si>
    <t xml:space="preserve">Romania </t>
  </si>
  <si>
    <t xml:space="preserve">Russia </t>
  </si>
  <si>
    <t xml:space="preserve">Rwanda </t>
  </si>
  <si>
    <t xml:space="preserve">Saint Helena </t>
  </si>
  <si>
    <t xml:space="preserve">Saint Kitts &amp; Nevis </t>
  </si>
  <si>
    <t xml:space="preserve">Saint Lucia </t>
  </si>
  <si>
    <t xml:space="preserve">St Pierre &amp; Miquelon </t>
  </si>
  <si>
    <t xml:space="preserve">Saint Vincent and the Grenadines </t>
  </si>
  <si>
    <t xml:space="preserve">Samoa </t>
  </si>
  <si>
    <t xml:space="preserve">San Marino </t>
  </si>
  <si>
    <t xml:space="preserve">Sao Tome &amp; Principe </t>
  </si>
  <si>
    <t xml:space="preserve">Saudi Arabia </t>
  </si>
  <si>
    <t xml:space="preserve">Senegal </t>
  </si>
  <si>
    <t xml:space="preserve">Serbia </t>
  </si>
  <si>
    <t xml:space="preserve">Seychelles </t>
  </si>
  <si>
    <t xml:space="preserve">Sierra Leone </t>
  </si>
  <si>
    <t xml:space="preserve">Singapore </t>
  </si>
  <si>
    <t xml:space="preserve">Slovakia </t>
  </si>
  <si>
    <t xml:space="preserve">Slovenia </t>
  </si>
  <si>
    <t xml:space="preserve">Solomon Islands </t>
  </si>
  <si>
    <t xml:space="preserve">Somalia </t>
  </si>
  <si>
    <t xml:space="preserve">South Africa </t>
  </si>
  <si>
    <t xml:space="preserve">Spain </t>
  </si>
  <si>
    <t xml:space="preserve">Sri 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</si>
  <si>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</si>
  <si>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</si>
  <si>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</si>
  <si>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</si>
  <si>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</si>
  <si>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Syria </t>
  </si>
  <si>
    <t xml:space="preserve">Taiwan </t>
  </si>
  <si>
    <t xml:space="preserve">Tajikistan </t>
  </si>
  <si>
    <t xml:space="preserve">Tanzania </t>
  </si>
  <si>
    <t xml:space="preserve">Thailand </t>
  </si>
  <si>
    <t xml:space="preserve">Togo </t>
  </si>
  <si>
    <t xml:space="preserve">Tonga </t>
  </si>
  <si>
    <t xml:space="preserve">Trinidad &amp; Tobago </t>
  </si>
  <si>
    <t xml:space="preserve">Tunisia </t>
  </si>
  <si>
    <t xml:space="preserve">Turkey </t>
  </si>
  <si>
    <t xml:space="preserve">Turkmenistan </t>
  </si>
  <si>
    <t xml:space="preserve">Turks &amp; Caicos Is </t>
  </si>
  <si>
    <t xml:space="preserve">Tuvalu </t>
  </si>
  <si>
    <t xml:space="preserve">Uganda </t>
  </si>
  <si>
    <t xml:space="preserve">Ukraine </t>
  </si>
  <si>
    <t xml:space="preserve">United Arab Emirates </t>
  </si>
  <si>
    <t xml:space="preserve">United Kingdom </t>
  </si>
  <si>
    <t xml:space="preserve">United States </t>
  </si>
  <si>
    <t xml:space="preserve">Uruguay </t>
  </si>
  <si>
    <t xml:space="preserve">Uzbekistan </t>
  </si>
  <si>
    <t xml:space="preserve">Vanuatu </t>
  </si>
  <si>
    <t xml:space="preserve">Venezuela </t>
  </si>
  <si>
    <t xml:space="preserve">Vietnam </t>
  </si>
  <si>
    <t xml:space="preserve">Virgin Islands </t>
  </si>
  <si>
    <t xml:space="preserve">Wallis and Futuna </t>
  </si>
  <si>
    <t xml:space="preserve">West Bank </t>
  </si>
  <si>
    <t xml:space="preserve">Western Sahara </t>
  </si>
  <si>
    <t xml:space="preserve">Yemen </t>
  </si>
  <si>
    <t xml:space="preserve">Zambia </t>
  </si>
  <si>
    <t xml:space="preserve">Zimbabwe </t>
  </si>
  <si>
    <t>Colombia</t>
  </si>
  <si>
    <t>Afghanistan</t>
  </si>
  <si>
    <t>Albania</t>
  </si>
  <si>
    <t>¿Alguna vez ha realizado 
una caminata ecológica?</t>
  </si>
  <si>
    <t>¿Alguna vez ha 
sembrado un árbol?</t>
  </si>
  <si>
    <t>Ingerso 
por persona</t>
  </si>
  <si>
    <t>Email</t>
  </si>
  <si>
    <t xml:space="preserve">¿Qué tanto disfruta las actividades de aventura? </t>
  </si>
  <si>
    <t>Precios</t>
  </si>
  <si>
    <t>15/05/2019</t>
  </si>
  <si>
    <t>Servicio Guia</t>
  </si>
  <si>
    <t>16/05/2019</t>
  </si>
  <si>
    <t>FC</t>
  </si>
  <si>
    <t>DA</t>
  </si>
  <si>
    <t>NM</t>
  </si>
  <si>
    <t>dani abi</t>
  </si>
  <si>
    <t>SI</t>
  </si>
  <si>
    <t>Si</t>
  </si>
  <si>
    <t>No</t>
  </si>
  <si>
    <t>Mucho</t>
  </si>
  <si>
    <t>23/02/1997</t>
  </si>
  <si>
    <t>ddnssk</t>
  </si>
  <si>
    <t>Fecha de Nacimiento</t>
  </si>
  <si>
    <t>mauro R</t>
  </si>
  <si>
    <t>Neutral</t>
  </si>
  <si>
    <t>wef</t>
  </si>
  <si>
    <t>bnm</t>
  </si>
  <si>
    <t>20xx</t>
  </si>
  <si>
    <t>Sample Name Sample Text</t>
  </si>
  <si>
    <t>Algo</t>
  </si>
  <si>
    <t>sampleemail@gmail.com</t>
  </si>
  <si>
    <t>Sample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</si>
</sst>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m/dd/yy"/>
    <numFmt numFmtId="166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  <fill>
      <patternFill patternType="solid">
        <fgColor rgb="FF83E3B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2" fillId="4" borderId="0" xfId="0" applyFont="1" applyFill="1" applyAlignment="1">
      <alignment vertical="center"/>
    </xf>
    <xf numFmtId="1" fontId="0" fillId="0" borderId="0" xfId="0" applyNumberFormat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64" fontId="3" fillId="0" borderId="0" xfId="1" applyFont="1" applyAlignment="1"/>
    <xf numFmtId="164" fontId="3" fillId="0" borderId="1" xfId="1" applyFont="1" applyBorder="1" applyAlignment="1"/>
    <xf numFmtId="164" fontId="3" fillId="0" borderId="2" xfId="1" applyFont="1" applyBorder="1" applyAlignment="1"/>
    <xf numFmtId="164" fontId="0" fillId="0" borderId="0" xfId="0" applyNumberFormat="1"/>
    <xf numFmtId="0" fontId="3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/>
    <xf numFmtId="0" fontId="0" fillId="0" borderId="0" xfId="0" applyFont="1"/>
    <xf numFmtId="164" fontId="0" fillId="0" borderId="0" xfId="1" applyFont="1"/>
    <xf numFmtId="0" fontId="0" fillId="0" borderId="3" xfId="0" applyBorder="1"/>
    <xf numFmtId="164" fontId="0" fillId="0" borderId="4" xfId="1" applyFont="1" applyBorder="1"/>
    <xf numFmtId="0" fontId="0" fillId="0" borderId="5" xfId="0" applyBorder="1"/>
    <xf numFmtId="164" fontId="0" fillId="0" borderId="6" xfId="1" applyFont="1" applyBorder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0" borderId="9" xfId="0" applyBorder="1"/>
    <xf numFmtId="14" fontId="0" fillId="0" borderId="9" xfId="0" applyNumberFormat="1" applyBorder="1"/>
    <xf numFmtId="166" fontId="0" fillId="0" borderId="9" xfId="0" applyNumberFormat="1" applyBorder="1"/>
    <xf numFmtId="0" fontId="0" fillId="5" borderId="9" xfId="0" applyFill="1" applyBorder="1"/>
    <xf numFmtId="14" fontId="0" fillId="5" borderId="9" xfId="0" applyNumberFormat="1" applyFill="1" applyBorder="1"/>
    <xf numFmtId="0" fontId="0" fillId="5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CC66"/>
      <color rgb="FF83E3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8</xdr:row>
          <xdr:rowOff>175260</xdr:rowOff>
        </xdr:from>
        <xdr:to>
          <xdr:col>9</xdr:col>
          <xdr:colOff>601980</xdr:colOff>
          <xdr:row>11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add 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312872</xdr:colOff>
      <xdr:row>0</xdr:row>
      <xdr:rowOff>0</xdr:rowOff>
    </xdr:from>
    <xdr:to>
      <xdr:col>8</xdr:col>
      <xdr:colOff>1051560</xdr:colOff>
      <xdr:row>0</xdr:row>
      <xdr:rowOff>1379791</xdr:rowOff>
    </xdr:to>
    <xdr:pic>
      <xdr:nvPicPr>
        <xdr:cNvPr id="2" name="Imagen 1" descr="Reserva El Zoqu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472" y="0"/>
          <a:ext cx="3916228" cy="1379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404312</xdr:colOff>
      <xdr:row>0</xdr:row>
      <xdr:rowOff>0</xdr:rowOff>
    </xdr:from>
    <xdr:to>
      <xdr:col>8</xdr:col>
      <xdr:colOff>1075266</xdr:colOff>
      <xdr:row>0</xdr:row>
      <xdr:rowOff>1379791</xdr:rowOff>
    </xdr:to>
    <xdr:pic>
      <xdr:nvPicPr>
        <xdr:cNvPr id="2" name="Imagen 1" descr="Reserva El Zoqu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062" y="0"/>
          <a:ext cx="3837488" cy="1379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C3F29-2A39-46FC-8856-B17CBCF119EB}">
  <sheetPr codeName="Hoja4"/>
  <dimension ref="A1:G7"/>
  <sheetViews>
    <sheetView showGridLines="0" workbookViewId="0">
      <selection activeCell="H23" sqref="G23:H23"/>
    </sheetView>
  </sheetViews>
  <sheetFormatPr defaultColWidth="11.5546875" defaultRowHeight="14.4" x14ac:dyDescent="0.3"/>
  <sheetData>
    <row r="1" spans="1:7" ht="15" thickBot="1" x14ac:dyDescent="0.35">
      <c r="A1" s="24" t="s">
        <v>311</v>
      </c>
      <c r="B1" s="25"/>
    </row>
    <row r="2" spans="1:7" x14ac:dyDescent="0.3">
      <c r="A2" s="20" t="s">
        <v>4</v>
      </c>
      <c r="B2" s="21">
        <v>20</v>
      </c>
    </row>
    <row r="3" spans="1:7" x14ac:dyDescent="0.3">
      <c r="A3" s="20" t="s">
        <v>5</v>
      </c>
      <c r="B3" s="21">
        <v>30</v>
      </c>
    </row>
    <row r="4" spans="1:7" x14ac:dyDescent="0.3">
      <c r="A4" s="20" t="s">
        <v>6</v>
      </c>
      <c r="B4" s="21">
        <v>15</v>
      </c>
      <c r="C4" s="17"/>
      <c r="D4" s="17"/>
      <c r="E4" s="17"/>
      <c r="F4" s="17"/>
      <c r="G4" s="17"/>
    </row>
    <row r="5" spans="1:7" x14ac:dyDescent="0.3">
      <c r="A5" s="20" t="s">
        <v>7</v>
      </c>
      <c r="B5" s="21">
        <v>40</v>
      </c>
    </row>
    <row r="6" spans="1:7" x14ac:dyDescent="0.3">
      <c r="A6" s="20" t="s">
        <v>8</v>
      </c>
      <c r="B6" s="21">
        <v>0</v>
      </c>
    </row>
    <row r="7" spans="1:7" ht="15" thickBot="1" x14ac:dyDescent="0.35">
      <c r="A7" s="22" t="s">
        <v>313</v>
      </c>
      <c r="B7" s="23">
        <v>60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594360</xdr:colOff>
                    <xdr:row>8</xdr:row>
                    <xdr:rowOff>175260</xdr:rowOff>
                  </from>
                  <to>
                    <xdr:col>9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B42C-27BF-4AC6-AB31-784E16551CD0}">
  <sheetPr codeName="Hoja1"/>
  <dimension ref="A1:T125"/>
  <sheetViews>
    <sheetView showGridLines="0" tabSelected="1" zoomScale="80" zoomScaleNormal="80" workbookViewId="0">
      <selection activeCell="H19" sqref="H19"/>
    </sheetView>
  </sheetViews>
  <sheetFormatPr defaultColWidth="11.5546875" defaultRowHeight="14.4" x14ac:dyDescent="0.3"/>
  <cols>
    <col min="3" max="3" width="18.6640625" bestFit="1" customWidth="1"/>
    <col min="6" max="6" width="11.6640625" bestFit="1" customWidth="1"/>
    <col min="9" max="9" width="17.77734375" bestFit="1" customWidth="1"/>
    <col min="11" max="11" width="11.44140625" bestFit="1" customWidth="1"/>
    <col min="12" max="13" width="11.44140625" customWidth="1"/>
    <col min="14" max="14" width="27.5546875" customWidth="1"/>
    <col min="15" max="15" width="26.21875" customWidth="1"/>
    <col min="16" max="16" width="30.77734375" bestFit="1" customWidth="1"/>
    <col min="18" max="18" width="13.77734375" bestFit="1" customWidth="1"/>
  </cols>
  <sheetData>
    <row r="1" spans="1:20" ht="112.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20" x14ac:dyDescent="0.3">
      <c r="A2" s="26" t="s">
        <v>1</v>
      </c>
      <c r="B2" s="26" t="s">
        <v>0</v>
      </c>
      <c r="C2" s="26" t="s">
        <v>2</v>
      </c>
      <c r="D2" s="26" t="s">
        <v>3</v>
      </c>
      <c r="E2" s="26"/>
      <c r="F2" s="26"/>
      <c r="G2" s="26"/>
      <c r="H2" s="26"/>
      <c r="I2" s="26" t="s">
        <v>9</v>
      </c>
      <c r="J2" s="26"/>
      <c r="K2" s="26" t="s">
        <v>12</v>
      </c>
      <c r="L2" s="26" t="s">
        <v>74</v>
      </c>
      <c r="M2" s="26"/>
      <c r="N2" s="26" t="s">
        <v>71</v>
      </c>
      <c r="O2" s="26" t="s">
        <v>13</v>
      </c>
      <c r="P2" s="26" t="s">
        <v>14</v>
      </c>
      <c r="Q2" s="26" t="s">
        <v>15</v>
      </c>
      <c r="R2" s="4" t="s">
        <v>16</v>
      </c>
      <c r="S2" s="1"/>
      <c r="T2" s="1"/>
    </row>
    <row r="3" spans="1:20" x14ac:dyDescent="0.3">
      <c r="A3" s="26"/>
      <c r="B3" s="26"/>
      <c r="C3" s="26"/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 t="s">
        <v>10</v>
      </c>
      <c r="J3" s="2" t="s">
        <v>11</v>
      </c>
      <c r="K3" s="26"/>
      <c r="L3" s="2" t="s">
        <v>75</v>
      </c>
      <c r="M3" s="2" t="s">
        <v>76</v>
      </c>
      <c r="N3" s="26"/>
      <c r="O3" s="26"/>
      <c r="P3" s="26"/>
      <c r="Q3" s="26"/>
      <c r="R3" s="3"/>
      <c r="S3" s="1"/>
      <c r="T3" s="1"/>
    </row>
    <row r="4" spans="1:20" x14ac:dyDescent="0.3">
      <c r="A4" s="5" t="s">
        <v>330</v>
      </c>
      <c r="B4" s="6">
        <v>42948</v>
      </c>
      <c r="C4" s="9">
        <v>5</v>
      </c>
      <c r="D4" s="9">
        <v>1</v>
      </c>
      <c r="E4" s="9"/>
      <c r="F4" s="9"/>
      <c r="H4" s="9"/>
      <c r="I4" s="14">
        <f>J4/C4</f>
        <v>20</v>
      </c>
      <c r="J4" s="11">
        <v>100</v>
      </c>
      <c r="K4" s="11">
        <v>0</v>
      </c>
      <c r="L4" s="11">
        <f>J4+K4</f>
        <v>100</v>
      </c>
      <c r="M4" s="11">
        <f>L4/C4</f>
        <v>20</v>
      </c>
      <c r="N4" s="16" t="s">
        <v>334</v>
      </c>
    </row>
    <row r="5" spans="1:20" x14ac:dyDescent="0.3">
      <c r="A5" s="5">
        <f t="shared" ref="A5:A6" si="0">IFERROR(YEAR(B5),2000+RIGHT(B5,2))</f>
        <v>2017</v>
      </c>
      <c r="B5" s="6">
        <v>42979</v>
      </c>
      <c r="C5" s="9">
        <v>2</v>
      </c>
      <c r="D5" s="9">
        <v>1</v>
      </c>
      <c r="E5" s="9"/>
      <c r="F5" s="9"/>
      <c r="H5" s="9"/>
      <c r="I5" s="14">
        <f t="shared" ref="I5:I68" si="1">J5/C5</f>
        <v>20</v>
      </c>
      <c r="J5" s="11">
        <v>40</v>
      </c>
      <c r="K5" s="11">
        <v>0</v>
      </c>
      <c r="L5" s="11">
        <f t="shared" ref="L5:L68" si="2">J5+K5</f>
        <v>40</v>
      </c>
      <c r="M5" s="11">
        <f t="shared" ref="M5:M68" si="3">L5/C5</f>
        <v>20</v>
      </c>
      <c r="N5" s="16" t="s">
        <v>334</v>
      </c>
    </row>
    <row r="6" spans="1:20" x14ac:dyDescent="0.3">
      <c r="A6" s="5">
        <f t="shared" si="0"/>
        <v>2017</v>
      </c>
      <c r="B6" s="6">
        <v>43040</v>
      </c>
      <c r="C6" s="9">
        <v>4</v>
      </c>
      <c r="D6" s="9">
        <v>1</v>
      </c>
      <c r="E6" s="9"/>
      <c r="F6" s="9"/>
      <c r="H6" s="9"/>
      <c r="I6" s="14">
        <f t="shared" si="1"/>
        <v>20</v>
      </c>
      <c r="J6" s="11">
        <v>80</v>
      </c>
      <c r="K6" s="11">
        <v>0</v>
      </c>
      <c r="L6" s="11">
        <f t="shared" si="2"/>
        <v>80</v>
      </c>
      <c r="M6" s="11">
        <f t="shared" si="3"/>
        <v>20</v>
      </c>
      <c r="N6" s="16" t="s">
        <v>334</v>
      </c>
    </row>
    <row r="7" spans="1:20" x14ac:dyDescent="0.3">
      <c r="A7" s="5">
        <f>IFERROR(YEAR(B7),2000+RIGHT(B7,2))</f>
        <v>2017</v>
      </c>
      <c r="B7" s="6" t="s">
        <v>18</v>
      </c>
      <c r="C7" s="9">
        <v>5</v>
      </c>
      <c r="D7" s="9">
        <v>1</v>
      </c>
      <c r="E7" s="9"/>
      <c r="F7" s="9"/>
      <c r="H7" s="9"/>
      <c r="I7" s="14">
        <f t="shared" si="1"/>
        <v>20</v>
      </c>
      <c r="J7" s="11">
        <v>100</v>
      </c>
      <c r="K7" s="11">
        <v>50</v>
      </c>
      <c r="L7" s="11">
        <f t="shared" si="2"/>
        <v>150</v>
      </c>
      <c r="M7" s="11">
        <f t="shared" si="3"/>
        <v>30</v>
      </c>
      <c r="N7" s="16" t="s">
        <v>334</v>
      </c>
    </row>
    <row r="8" spans="1:20" x14ac:dyDescent="0.3">
      <c r="A8" s="5">
        <f t="shared" ref="A8:A71" si="4">IFERROR(YEAR(B8),2000+RIGHT(B8,2))</f>
        <v>2017</v>
      </c>
      <c r="B8" s="6" t="s">
        <v>19</v>
      </c>
      <c r="C8" s="9">
        <v>4</v>
      </c>
      <c r="D8" s="9"/>
      <c r="E8" s="9"/>
      <c r="F8" s="9"/>
      <c r="H8" s="9">
        <v>1</v>
      </c>
      <c r="I8" s="14">
        <f t="shared" si="1"/>
        <v>0</v>
      </c>
      <c r="J8" s="11">
        <v>0</v>
      </c>
      <c r="K8" s="11">
        <v>0</v>
      </c>
      <c r="L8" s="11">
        <f t="shared" si="2"/>
        <v>0</v>
      </c>
      <c r="M8" s="11">
        <f t="shared" si="3"/>
        <v>0</v>
      </c>
      <c r="N8" s="16" t="s">
        <v>334</v>
      </c>
    </row>
    <row r="9" spans="1:20" x14ac:dyDescent="0.3">
      <c r="A9" s="5">
        <f t="shared" si="4"/>
        <v>2017</v>
      </c>
      <c r="B9" s="6" t="s">
        <v>20</v>
      </c>
      <c r="C9" s="9">
        <v>3</v>
      </c>
      <c r="D9" s="9">
        <v>1</v>
      </c>
      <c r="E9" s="9"/>
      <c r="F9" s="9"/>
      <c r="H9" s="9"/>
      <c r="I9" s="14">
        <f t="shared" si="1"/>
        <v>20</v>
      </c>
      <c r="J9" s="11">
        <v>60</v>
      </c>
      <c r="K9" s="11">
        <v>30</v>
      </c>
      <c r="L9" s="11">
        <f t="shared" si="2"/>
        <v>90</v>
      </c>
      <c r="M9" s="11">
        <f t="shared" si="3"/>
        <v>30</v>
      </c>
      <c r="N9" s="16" t="s">
        <v>334</v>
      </c>
    </row>
    <row r="10" spans="1:20" x14ac:dyDescent="0.3">
      <c r="A10" s="5">
        <f t="shared" si="4"/>
        <v>2017</v>
      </c>
      <c r="B10" s="6">
        <v>42857</v>
      </c>
      <c r="C10" s="9">
        <v>15</v>
      </c>
      <c r="D10" s="9">
        <v>1</v>
      </c>
      <c r="E10" s="9"/>
      <c r="F10" s="9"/>
      <c r="H10" s="9"/>
      <c r="I10" s="14">
        <f t="shared" si="1"/>
        <v>20</v>
      </c>
      <c r="J10" s="11">
        <v>300</v>
      </c>
      <c r="K10" s="11">
        <v>0</v>
      </c>
      <c r="L10" s="11">
        <f t="shared" si="2"/>
        <v>300</v>
      </c>
      <c r="M10" s="11">
        <f t="shared" si="3"/>
        <v>20</v>
      </c>
      <c r="N10" s="16" t="s">
        <v>334</v>
      </c>
    </row>
    <row r="11" spans="1:20" x14ac:dyDescent="0.3">
      <c r="A11" s="5">
        <f t="shared" si="4"/>
        <v>2017</v>
      </c>
      <c r="B11" s="6">
        <v>43041</v>
      </c>
      <c r="C11" s="9">
        <v>2</v>
      </c>
      <c r="D11" s="9">
        <v>1</v>
      </c>
      <c r="E11" s="9"/>
      <c r="F11" s="9"/>
      <c r="H11" s="9"/>
      <c r="I11" s="14">
        <f t="shared" si="1"/>
        <v>20</v>
      </c>
      <c r="J11" s="11">
        <v>40</v>
      </c>
      <c r="K11" s="11">
        <v>50</v>
      </c>
      <c r="L11" s="11">
        <f t="shared" si="2"/>
        <v>90</v>
      </c>
      <c r="M11" s="11">
        <f t="shared" si="3"/>
        <v>45</v>
      </c>
      <c r="N11" s="16" t="s">
        <v>334</v>
      </c>
    </row>
    <row r="12" spans="1:20" x14ac:dyDescent="0.3">
      <c r="A12" s="5">
        <f t="shared" si="4"/>
        <v>2017</v>
      </c>
      <c r="B12" s="6">
        <v>43072</v>
      </c>
      <c r="C12" s="9">
        <v>2</v>
      </c>
      <c r="D12" s="9">
        <v>1</v>
      </c>
      <c r="E12" s="9"/>
      <c r="F12" s="9"/>
      <c r="H12" s="9"/>
      <c r="I12" s="14">
        <f t="shared" si="1"/>
        <v>20</v>
      </c>
      <c r="J12" s="11">
        <v>40</v>
      </c>
      <c r="K12" s="11">
        <v>60</v>
      </c>
      <c r="L12" s="11">
        <f t="shared" si="2"/>
        <v>100</v>
      </c>
      <c r="M12" s="11">
        <f t="shared" si="3"/>
        <v>50</v>
      </c>
      <c r="N12" s="16" t="s">
        <v>334</v>
      </c>
    </row>
    <row r="13" spans="1:20" x14ac:dyDescent="0.3">
      <c r="A13" s="5">
        <f t="shared" si="4"/>
        <v>2017</v>
      </c>
      <c r="B13" s="6">
        <v>43072</v>
      </c>
      <c r="C13" s="9">
        <v>4</v>
      </c>
      <c r="D13" s="9">
        <v>1</v>
      </c>
      <c r="E13" s="9"/>
      <c r="F13" s="9"/>
      <c r="H13" s="9"/>
      <c r="I13" s="14">
        <f t="shared" si="1"/>
        <v>20</v>
      </c>
      <c r="J13" s="11">
        <v>80</v>
      </c>
      <c r="K13" s="11">
        <v>0</v>
      </c>
      <c r="L13" s="11">
        <f t="shared" si="2"/>
        <v>80</v>
      </c>
      <c r="M13" s="11">
        <f t="shared" si="3"/>
        <v>20</v>
      </c>
      <c r="N13" s="16" t="s">
        <v>334</v>
      </c>
    </row>
    <row r="14" spans="1:20" x14ac:dyDescent="0.3">
      <c r="A14" s="5">
        <f t="shared" si="4"/>
        <v>2017</v>
      </c>
      <c r="B14" s="7" t="s">
        <v>21</v>
      </c>
      <c r="C14" s="9">
        <v>3</v>
      </c>
      <c r="D14" s="9">
        <v>1</v>
      </c>
      <c r="E14" s="9"/>
      <c r="F14" s="9"/>
      <c r="H14" s="9"/>
      <c r="I14" s="14">
        <f t="shared" si="1"/>
        <v>20</v>
      </c>
      <c r="J14" s="11">
        <v>60</v>
      </c>
      <c r="K14" s="11">
        <v>60</v>
      </c>
      <c r="L14" s="11">
        <f t="shared" si="2"/>
        <v>120</v>
      </c>
      <c r="M14" s="11">
        <f t="shared" si="3"/>
        <v>40</v>
      </c>
      <c r="N14" s="16" t="s">
        <v>334</v>
      </c>
    </row>
    <row r="15" spans="1:20" x14ac:dyDescent="0.3">
      <c r="A15" s="5">
        <f t="shared" si="4"/>
        <v>2017</v>
      </c>
      <c r="B15" s="6">
        <v>42770</v>
      </c>
      <c r="C15" s="9">
        <v>20</v>
      </c>
      <c r="D15" s="9"/>
      <c r="E15" s="9"/>
      <c r="F15" s="9"/>
      <c r="H15" s="9">
        <v>1</v>
      </c>
      <c r="I15" s="14">
        <f t="shared" si="1"/>
        <v>0</v>
      </c>
      <c r="J15" s="11">
        <v>0</v>
      </c>
      <c r="K15" s="11">
        <v>0</v>
      </c>
      <c r="L15" s="11">
        <f t="shared" si="2"/>
        <v>0</v>
      </c>
      <c r="M15" s="11">
        <f t="shared" si="3"/>
        <v>0</v>
      </c>
      <c r="N15" s="16" t="s">
        <v>334</v>
      </c>
    </row>
    <row r="16" spans="1:20" x14ac:dyDescent="0.3">
      <c r="A16" s="5">
        <f t="shared" si="4"/>
        <v>2017</v>
      </c>
      <c r="B16" s="7" t="s">
        <v>22</v>
      </c>
      <c r="C16" s="9">
        <v>25</v>
      </c>
      <c r="D16" s="9"/>
      <c r="E16" s="9"/>
      <c r="F16" s="9">
        <v>1</v>
      </c>
      <c r="H16" s="9"/>
      <c r="I16" s="14">
        <f t="shared" si="1"/>
        <v>15</v>
      </c>
      <c r="J16" s="11">
        <v>375</v>
      </c>
      <c r="K16" s="11">
        <v>60</v>
      </c>
      <c r="L16" s="11">
        <f t="shared" si="2"/>
        <v>435</v>
      </c>
      <c r="M16" s="11">
        <f t="shared" si="3"/>
        <v>17.399999999999999</v>
      </c>
      <c r="N16" s="16" t="s">
        <v>334</v>
      </c>
    </row>
    <row r="17" spans="1:14" x14ac:dyDescent="0.3">
      <c r="A17" s="5">
        <f t="shared" si="4"/>
        <v>2017</v>
      </c>
      <c r="B17" s="6">
        <v>42740</v>
      </c>
      <c r="C17" s="9">
        <v>13</v>
      </c>
      <c r="D17" s="9">
        <v>1</v>
      </c>
      <c r="E17" s="9"/>
      <c r="F17" s="9"/>
      <c r="H17" s="9"/>
      <c r="I17" s="14">
        <f t="shared" si="1"/>
        <v>20</v>
      </c>
      <c r="J17" s="11">
        <v>260</v>
      </c>
      <c r="K17" s="11">
        <v>60</v>
      </c>
      <c r="L17" s="11">
        <f t="shared" si="2"/>
        <v>320</v>
      </c>
      <c r="M17" s="11">
        <f t="shared" si="3"/>
        <v>24.615384615384617</v>
      </c>
      <c r="N17" s="16" t="s">
        <v>334</v>
      </c>
    </row>
    <row r="18" spans="1:14" x14ac:dyDescent="0.3">
      <c r="A18" s="5">
        <f t="shared" si="4"/>
        <v>2017</v>
      </c>
      <c r="B18" s="6">
        <v>42891</v>
      </c>
      <c r="C18" s="9">
        <v>3</v>
      </c>
      <c r="D18" s="9">
        <v>1</v>
      </c>
      <c r="E18" s="9"/>
      <c r="F18" s="9"/>
      <c r="H18" s="9"/>
      <c r="I18" s="14">
        <f t="shared" si="1"/>
        <v>20</v>
      </c>
      <c r="J18" s="11">
        <v>60</v>
      </c>
      <c r="K18" s="11">
        <v>60</v>
      </c>
      <c r="L18" s="11">
        <f t="shared" si="2"/>
        <v>120</v>
      </c>
      <c r="M18" s="11">
        <f t="shared" si="3"/>
        <v>40</v>
      </c>
      <c r="N18" s="16" t="s">
        <v>334</v>
      </c>
    </row>
    <row r="19" spans="1:14" x14ac:dyDescent="0.3">
      <c r="A19" s="5">
        <f t="shared" si="4"/>
        <v>2017</v>
      </c>
      <c r="B19" s="7" t="s">
        <v>23</v>
      </c>
      <c r="C19" s="9">
        <v>10</v>
      </c>
      <c r="D19" s="9"/>
      <c r="E19" s="9"/>
      <c r="F19" s="9"/>
      <c r="H19" s="9">
        <v>1</v>
      </c>
      <c r="I19" s="14">
        <f t="shared" si="1"/>
        <v>0</v>
      </c>
      <c r="J19" s="11">
        <v>0</v>
      </c>
      <c r="K19" s="11">
        <v>0</v>
      </c>
      <c r="L19" s="11">
        <f t="shared" si="2"/>
        <v>0</v>
      </c>
      <c r="M19" s="11">
        <f t="shared" si="3"/>
        <v>0</v>
      </c>
      <c r="N19" s="16" t="s">
        <v>334</v>
      </c>
    </row>
    <row r="20" spans="1:14" x14ac:dyDescent="0.3">
      <c r="A20" s="5">
        <f t="shared" si="4"/>
        <v>2017</v>
      </c>
      <c r="B20" s="7" t="s">
        <v>24</v>
      </c>
      <c r="C20" s="9">
        <v>3</v>
      </c>
      <c r="D20" s="9">
        <v>1</v>
      </c>
      <c r="E20" s="9"/>
      <c r="F20" s="9"/>
      <c r="H20" s="9"/>
      <c r="I20" s="14">
        <f t="shared" si="1"/>
        <v>20</v>
      </c>
      <c r="J20" s="11">
        <v>60</v>
      </c>
      <c r="K20" s="11">
        <v>60</v>
      </c>
      <c r="L20" s="11">
        <f t="shared" si="2"/>
        <v>120</v>
      </c>
      <c r="M20" s="11">
        <f t="shared" si="3"/>
        <v>40</v>
      </c>
      <c r="N20" s="16" t="s">
        <v>334</v>
      </c>
    </row>
    <row r="21" spans="1:14" x14ac:dyDescent="0.3">
      <c r="A21" s="5">
        <f t="shared" si="4"/>
        <v>2017</v>
      </c>
      <c r="B21" s="6">
        <v>43045</v>
      </c>
      <c r="C21" s="9">
        <v>7</v>
      </c>
      <c r="D21" s="9"/>
      <c r="E21" s="9"/>
      <c r="F21" s="9"/>
      <c r="H21" s="9">
        <v>1</v>
      </c>
      <c r="I21" s="14">
        <f t="shared" si="1"/>
        <v>0</v>
      </c>
      <c r="J21" s="11">
        <v>0</v>
      </c>
      <c r="K21" s="11">
        <v>0</v>
      </c>
      <c r="L21" s="11">
        <f t="shared" si="2"/>
        <v>0</v>
      </c>
      <c r="M21" s="11">
        <f t="shared" si="3"/>
        <v>0</v>
      </c>
      <c r="N21" s="16" t="s">
        <v>334</v>
      </c>
    </row>
    <row r="22" spans="1:14" x14ac:dyDescent="0.3">
      <c r="A22" s="5">
        <f t="shared" si="4"/>
        <v>2017</v>
      </c>
      <c r="B22" s="6">
        <v>42773</v>
      </c>
      <c r="C22" s="9">
        <v>4</v>
      </c>
      <c r="D22" s="9">
        <v>1</v>
      </c>
      <c r="E22" s="9"/>
      <c r="F22" s="9"/>
      <c r="H22" s="9"/>
      <c r="I22" s="14">
        <f t="shared" si="1"/>
        <v>0</v>
      </c>
      <c r="J22" s="11">
        <v>0</v>
      </c>
      <c r="K22" s="11">
        <v>60</v>
      </c>
      <c r="L22" s="11">
        <f t="shared" si="2"/>
        <v>60</v>
      </c>
      <c r="M22" s="11">
        <f t="shared" si="3"/>
        <v>15</v>
      </c>
      <c r="N22" s="16" t="s">
        <v>334</v>
      </c>
    </row>
    <row r="23" spans="1:14" x14ac:dyDescent="0.3">
      <c r="A23" s="5">
        <f t="shared" si="4"/>
        <v>2017</v>
      </c>
      <c r="B23" s="7" t="s">
        <v>25</v>
      </c>
      <c r="C23" s="9">
        <v>4</v>
      </c>
      <c r="D23" s="9">
        <v>1</v>
      </c>
      <c r="E23" s="9"/>
      <c r="F23" s="9"/>
      <c r="H23" s="9"/>
      <c r="I23" s="14">
        <f t="shared" si="1"/>
        <v>20</v>
      </c>
      <c r="J23" s="11">
        <v>80</v>
      </c>
      <c r="K23" s="11">
        <v>60</v>
      </c>
      <c r="L23" s="11">
        <f t="shared" si="2"/>
        <v>140</v>
      </c>
      <c r="M23" s="11">
        <f t="shared" si="3"/>
        <v>35</v>
      </c>
      <c r="N23" s="16" t="s">
        <v>334</v>
      </c>
    </row>
    <row r="24" spans="1:14" x14ac:dyDescent="0.3">
      <c r="A24" s="5">
        <f t="shared" si="4"/>
        <v>2017</v>
      </c>
      <c r="B24" s="6">
        <v>42894</v>
      </c>
      <c r="C24" s="9">
        <v>2</v>
      </c>
      <c r="D24" s="9">
        <v>1</v>
      </c>
      <c r="E24" s="9"/>
      <c r="F24" s="9"/>
      <c r="H24" s="9"/>
      <c r="I24" s="14">
        <f t="shared" si="1"/>
        <v>20</v>
      </c>
      <c r="J24" s="11">
        <v>40</v>
      </c>
      <c r="K24" s="11">
        <v>60</v>
      </c>
      <c r="L24" s="11">
        <f t="shared" si="2"/>
        <v>100</v>
      </c>
      <c r="M24" s="11">
        <f t="shared" si="3"/>
        <v>50</v>
      </c>
      <c r="N24" s="16" t="s">
        <v>334</v>
      </c>
    </row>
    <row r="25" spans="1:14" x14ac:dyDescent="0.3">
      <c r="A25" s="5">
        <f t="shared" si="4"/>
        <v>2017</v>
      </c>
      <c r="B25" s="6">
        <v>42924</v>
      </c>
      <c r="C25" s="9">
        <v>2</v>
      </c>
      <c r="D25" s="9"/>
      <c r="E25" s="9">
        <v>1</v>
      </c>
      <c r="F25" s="9"/>
      <c r="H25" s="9"/>
      <c r="I25" s="14">
        <f t="shared" si="1"/>
        <v>30</v>
      </c>
      <c r="J25" s="11">
        <v>60</v>
      </c>
      <c r="K25" s="11">
        <v>60</v>
      </c>
      <c r="L25" s="11">
        <f t="shared" si="2"/>
        <v>120</v>
      </c>
      <c r="M25" s="11">
        <f t="shared" si="3"/>
        <v>60</v>
      </c>
      <c r="N25" s="16" t="s">
        <v>334</v>
      </c>
    </row>
    <row r="26" spans="1:14" x14ac:dyDescent="0.3">
      <c r="A26" s="5">
        <f t="shared" si="4"/>
        <v>2017</v>
      </c>
      <c r="B26" s="7" t="s">
        <v>26</v>
      </c>
      <c r="C26" s="9">
        <v>4</v>
      </c>
      <c r="D26" s="9"/>
      <c r="E26" s="9"/>
      <c r="F26" s="9">
        <v>1</v>
      </c>
      <c r="H26" s="9"/>
      <c r="I26" s="14">
        <f t="shared" si="1"/>
        <v>0</v>
      </c>
      <c r="J26" s="11">
        <v>0</v>
      </c>
      <c r="K26" s="11">
        <v>0</v>
      </c>
      <c r="L26" s="11">
        <f t="shared" si="2"/>
        <v>0</v>
      </c>
      <c r="M26" s="11">
        <f t="shared" si="3"/>
        <v>0</v>
      </c>
      <c r="N26" s="16" t="s">
        <v>334</v>
      </c>
    </row>
    <row r="27" spans="1:14" x14ac:dyDescent="0.3">
      <c r="A27" s="5">
        <f t="shared" si="4"/>
        <v>2017</v>
      </c>
      <c r="B27" s="7" t="s">
        <v>26</v>
      </c>
      <c r="C27" s="9">
        <v>2</v>
      </c>
      <c r="D27" s="9"/>
      <c r="E27" s="9">
        <v>1</v>
      </c>
      <c r="F27" s="9"/>
      <c r="H27" s="9"/>
      <c r="I27" s="14">
        <f t="shared" si="1"/>
        <v>30</v>
      </c>
      <c r="J27" s="11">
        <v>60</v>
      </c>
      <c r="K27" s="11">
        <v>60</v>
      </c>
      <c r="L27" s="11">
        <f t="shared" si="2"/>
        <v>120</v>
      </c>
      <c r="M27" s="11">
        <f t="shared" si="3"/>
        <v>60</v>
      </c>
      <c r="N27" s="16" t="s">
        <v>334</v>
      </c>
    </row>
    <row r="28" spans="1:14" x14ac:dyDescent="0.3">
      <c r="A28" s="5">
        <f t="shared" si="4"/>
        <v>2017</v>
      </c>
      <c r="B28" s="7" t="s">
        <v>26</v>
      </c>
      <c r="C28" s="9">
        <v>3</v>
      </c>
      <c r="D28" s="9">
        <v>1</v>
      </c>
      <c r="E28" s="9"/>
      <c r="F28" s="9"/>
      <c r="H28" s="9"/>
      <c r="I28" s="14">
        <f t="shared" si="1"/>
        <v>20</v>
      </c>
      <c r="J28" s="11">
        <v>60</v>
      </c>
      <c r="K28" s="11">
        <v>0</v>
      </c>
      <c r="L28" s="11">
        <f t="shared" si="2"/>
        <v>60</v>
      </c>
      <c r="M28" s="11">
        <f t="shared" si="3"/>
        <v>20</v>
      </c>
      <c r="N28" s="16" t="s">
        <v>334</v>
      </c>
    </row>
    <row r="29" spans="1:14" x14ac:dyDescent="0.3">
      <c r="A29" s="5">
        <f t="shared" si="4"/>
        <v>2017</v>
      </c>
      <c r="B29" s="7" t="s">
        <v>27</v>
      </c>
      <c r="C29" s="9">
        <v>1</v>
      </c>
      <c r="D29" s="9">
        <v>1</v>
      </c>
      <c r="E29" s="9"/>
      <c r="F29" s="9"/>
      <c r="H29" s="9"/>
      <c r="I29" s="14">
        <f t="shared" si="1"/>
        <v>20</v>
      </c>
      <c r="J29" s="11">
        <v>20</v>
      </c>
      <c r="K29" s="11">
        <v>60</v>
      </c>
      <c r="L29" s="11">
        <f t="shared" si="2"/>
        <v>80</v>
      </c>
      <c r="M29" s="11">
        <f t="shared" si="3"/>
        <v>80</v>
      </c>
      <c r="N29" s="16" t="s">
        <v>334</v>
      </c>
    </row>
    <row r="30" spans="1:14" x14ac:dyDescent="0.3">
      <c r="A30" s="5">
        <f t="shared" si="4"/>
        <v>2017</v>
      </c>
      <c r="B30" s="6">
        <v>42775</v>
      </c>
      <c r="C30" s="9">
        <v>4</v>
      </c>
      <c r="D30" s="9">
        <v>1</v>
      </c>
      <c r="E30" s="9"/>
      <c r="F30" s="9"/>
      <c r="H30" s="9"/>
      <c r="I30" s="14">
        <f t="shared" si="1"/>
        <v>20</v>
      </c>
      <c r="J30" s="11">
        <v>80</v>
      </c>
      <c r="K30" s="11">
        <v>60</v>
      </c>
      <c r="L30" s="11">
        <f t="shared" si="2"/>
        <v>140</v>
      </c>
      <c r="M30" s="11">
        <f t="shared" si="3"/>
        <v>35</v>
      </c>
      <c r="N30" s="16" t="s">
        <v>334</v>
      </c>
    </row>
    <row r="31" spans="1:14" x14ac:dyDescent="0.3">
      <c r="A31" s="5">
        <f t="shared" si="4"/>
        <v>2017</v>
      </c>
      <c r="B31" s="7" t="s">
        <v>28</v>
      </c>
      <c r="C31" s="9">
        <v>4</v>
      </c>
      <c r="D31" s="9">
        <v>1</v>
      </c>
      <c r="E31" s="9"/>
      <c r="F31" s="9"/>
      <c r="H31" s="9"/>
      <c r="I31" s="14">
        <f t="shared" si="1"/>
        <v>20</v>
      </c>
      <c r="J31" s="11">
        <v>80</v>
      </c>
      <c r="K31" s="11">
        <v>60</v>
      </c>
      <c r="L31" s="11">
        <f t="shared" si="2"/>
        <v>140</v>
      </c>
      <c r="M31" s="11">
        <f t="shared" si="3"/>
        <v>35</v>
      </c>
      <c r="N31" s="16" t="s">
        <v>334</v>
      </c>
    </row>
    <row r="32" spans="1:14" x14ac:dyDescent="0.3">
      <c r="A32" s="5">
        <f t="shared" si="4"/>
        <v>2017</v>
      </c>
      <c r="B32" s="6">
        <v>43080</v>
      </c>
      <c r="C32" s="9">
        <v>8</v>
      </c>
      <c r="D32" s="9">
        <v>1</v>
      </c>
      <c r="E32" s="9"/>
      <c r="F32" s="9"/>
      <c r="H32" s="9"/>
      <c r="I32" s="14">
        <f t="shared" si="1"/>
        <v>20</v>
      </c>
      <c r="J32" s="11">
        <v>160</v>
      </c>
      <c r="K32" s="11">
        <v>60</v>
      </c>
      <c r="L32" s="11">
        <f t="shared" si="2"/>
        <v>220</v>
      </c>
      <c r="M32" s="11">
        <f t="shared" si="3"/>
        <v>27.5</v>
      </c>
      <c r="N32" s="16" t="s">
        <v>334</v>
      </c>
    </row>
    <row r="33" spans="1:14" x14ac:dyDescent="0.3">
      <c r="A33" s="5">
        <f t="shared" si="4"/>
        <v>2017</v>
      </c>
      <c r="B33" s="7" t="s">
        <v>29</v>
      </c>
      <c r="C33" s="9">
        <v>2</v>
      </c>
      <c r="D33" s="9">
        <v>1</v>
      </c>
      <c r="E33" s="9"/>
      <c r="F33" s="9"/>
      <c r="H33" s="9"/>
      <c r="I33" s="14">
        <f t="shared" si="1"/>
        <v>20</v>
      </c>
      <c r="J33" s="11">
        <v>40</v>
      </c>
      <c r="K33" s="11">
        <v>60</v>
      </c>
      <c r="L33" s="11">
        <f t="shared" si="2"/>
        <v>100</v>
      </c>
      <c r="M33" s="11">
        <f t="shared" si="3"/>
        <v>50</v>
      </c>
      <c r="N33" s="16" t="s">
        <v>334</v>
      </c>
    </row>
    <row r="34" spans="1:14" x14ac:dyDescent="0.3">
      <c r="A34" s="5">
        <f t="shared" si="4"/>
        <v>2017</v>
      </c>
      <c r="B34" s="7" t="s">
        <v>30</v>
      </c>
      <c r="C34" s="9">
        <v>21</v>
      </c>
      <c r="D34" s="9"/>
      <c r="E34" s="9"/>
      <c r="F34" s="9">
        <v>1</v>
      </c>
      <c r="H34" s="9"/>
      <c r="I34" s="14">
        <f t="shared" si="1"/>
        <v>15</v>
      </c>
      <c r="J34" s="11">
        <v>315</v>
      </c>
      <c r="K34" s="11">
        <v>60</v>
      </c>
      <c r="L34" s="11">
        <f t="shared" si="2"/>
        <v>375</v>
      </c>
      <c r="M34" s="11">
        <f t="shared" si="3"/>
        <v>17.857142857142858</v>
      </c>
      <c r="N34" s="16" t="s">
        <v>334</v>
      </c>
    </row>
    <row r="35" spans="1:14" x14ac:dyDescent="0.3">
      <c r="A35" s="5">
        <f t="shared" si="4"/>
        <v>2017</v>
      </c>
      <c r="B35" s="7" t="s">
        <v>31</v>
      </c>
      <c r="C35" s="9">
        <v>2</v>
      </c>
      <c r="D35" s="9">
        <v>1</v>
      </c>
      <c r="E35" s="9"/>
      <c r="F35" s="9"/>
      <c r="H35" s="9"/>
      <c r="I35" s="14">
        <f t="shared" si="1"/>
        <v>20</v>
      </c>
      <c r="J35" s="11">
        <v>40</v>
      </c>
      <c r="K35" s="11">
        <v>60</v>
      </c>
      <c r="L35" s="11">
        <f t="shared" si="2"/>
        <v>100</v>
      </c>
      <c r="M35" s="11">
        <f t="shared" si="3"/>
        <v>50</v>
      </c>
      <c r="N35" s="16" t="s">
        <v>334</v>
      </c>
    </row>
    <row r="36" spans="1:14" x14ac:dyDescent="0.3">
      <c r="A36" s="5">
        <f t="shared" si="4"/>
        <v>2017</v>
      </c>
      <c r="B36" s="6">
        <v>42806</v>
      </c>
      <c r="C36" s="9">
        <v>2</v>
      </c>
      <c r="D36" s="9">
        <v>1</v>
      </c>
      <c r="E36" s="9"/>
      <c r="F36" s="9"/>
      <c r="H36" s="9"/>
      <c r="I36" s="14">
        <f t="shared" si="1"/>
        <v>20</v>
      </c>
      <c r="J36" s="11">
        <v>40</v>
      </c>
      <c r="K36" s="11">
        <v>60</v>
      </c>
      <c r="L36" s="11">
        <f t="shared" si="2"/>
        <v>100</v>
      </c>
      <c r="M36" s="11">
        <f t="shared" si="3"/>
        <v>50</v>
      </c>
      <c r="N36" s="16" t="s">
        <v>334</v>
      </c>
    </row>
    <row r="37" spans="1:14" x14ac:dyDescent="0.3">
      <c r="A37" s="5">
        <f t="shared" si="4"/>
        <v>2017</v>
      </c>
      <c r="B37" s="6">
        <v>42806</v>
      </c>
      <c r="C37" s="9">
        <v>2</v>
      </c>
      <c r="D37" s="9">
        <v>1</v>
      </c>
      <c r="E37" s="9"/>
      <c r="F37" s="9"/>
      <c r="H37" s="9"/>
      <c r="I37" s="14">
        <f t="shared" si="1"/>
        <v>20</v>
      </c>
      <c r="J37" s="11">
        <v>40</v>
      </c>
      <c r="K37" s="11">
        <v>60</v>
      </c>
      <c r="L37" s="11">
        <f t="shared" si="2"/>
        <v>100</v>
      </c>
      <c r="M37" s="11">
        <f t="shared" si="3"/>
        <v>50</v>
      </c>
      <c r="N37" s="16" t="s">
        <v>334</v>
      </c>
    </row>
    <row r="38" spans="1:14" x14ac:dyDescent="0.3">
      <c r="A38" s="5">
        <f t="shared" si="4"/>
        <v>2017</v>
      </c>
      <c r="B38" s="6">
        <v>42959</v>
      </c>
      <c r="C38" s="9">
        <v>14</v>
      </c>
      <c r="D38" s="9"/>
      <c r="E38" s="9">
        <v>1</v>
      </c>
      <c r="F38" s="9"/>
      <c r="H38" s="9"/>
      <c r="I38" s="14">
        <f t="shared" si="1"/>
        <v>30</v>
      </c>
      <c r="J38" s="11">
        <v>420</v>
      </c>
      <c r="K38" s="11">
        <v>120</v>
      </c>
      <c r="L38" s="11">
        <f t="shared" si="2"/>
        <v>540</v>
      </c>
      <c r="M38" s="11">
        <f t="shared" si="3"/>
        <v>38.571428571428569</v>
      </c>
      <c r="N38" s="16" t="s">
        <v>334</v>
      </c>
    </row>
    <row r="39" spans="1:14" x14ac:dyDescent="0.3">
      <c r="A39" s="5">
        <f t="shared" si="4"/>
        <v>2017</v>
      </c>
      <c r="B39" s="7" t="s">
        <v>32</v>
      </c>
      <c r="C39" s="9">
        <v>4</v>
      </c>
      <c r="D39" s="9">
        <v>1</v>
      </c>
      <c r="E39" s="9"/>
      <c r="F39" s="9"/>
      <c r="H39" s="9"/>
      <c r="I39" s="14">
        <f t="shared" si="1"/>
        <v>20</v>
      </c>
      <c r="J39" s="11">
        <v>80</v>
      </c>
      <c r="K39" s="11">
        <v>60</v>
      </c>
      <c r="L39" s="11">
        <f t="shared" si="2"/>
        <v>140</v>
      </c>
      <c r="M39" s="11">
        <f t="shared" si="3"/>
        <v>35</v>
      </c>
      <c r="N39" s="16" t="s">
        <v>334</v>
      </c>
    </row>
    <row r="40" spans="1:14" x14ac:dyDescent="0.3">
      <c r="A40" s="5">
        <f t="shared" si="4"/>
        <v>2017</v>
      </c>
      <c r="B40" s="7" t="s">
        <v>33</v>
      </c>
      <c r="C40" s="15">
        <v>5</v>
      </c>
      <c r="D40" s="15">
        <v>1</v>
      </c>
      <c r="E40" s="15"/>
      <c r="F40" s="15"/>
      <c r="H40" s="10"/>
      <c r="I40" s="14">
        <f t="shared" si="1"/>
        <v>20</v>
      </c>
      <c r="J40" s="12">
        <v>100</v>
      </c>
      <c r="K40" s="12">
        <v>60</v>
      </c>
      <c r="L40" s="11">
        <f t="shared" si="2"/>
        <v>160</v>
      </c>
      <c r="M40" s="11">
        <f t="shared" si="3"/>
        <v>32</v>
      </c>
      <c r="N40" s="16" t="s">
        <v>334</v>
      </c>
    </row>
    <row r="41" spans="1:14" x14ac:dyDescent="0.3">
      <c r="A41" s="5">
        <f t="shared" si="4"/>
        <v>2018</v>
      </c>
      <c r="B41" s="6">
        <v>43252</v>
      </c>
      <c r="C41" s="9">
        <v>4</v>
      </c>
      <c r="D41" s="9">
        <v>1</v>
      </c>
      <c r="E41" s="9"/>
      <c r="F41" s="9"/>
      <c r="H41" s="9"/>
      <c r="I41" s="14">
        <f t="shared" si="1"/>
        <v>20</v>
      </c>
      <c r="J41" s="11">
        <v>80</v>
      </c>
      <c r="K41" s="11">
        <v>60</v>
      </c>
      <c r="L41" s="11">
        <f t="shared" si="2"/>
        <v>140</v>
      </c>
      <c r="M41" s="11">
        <f t="shared" si="3"/>
        <v>35</v>
      </c>
      <c r="N41" s="16" t="s">
        <v>334</v>
      </c>
    </row>
    <row r="42" spans="1:14" x14ac:dyDescent="0.3">
      <c r="A42" s="5">
        <f t="shared" si="4"/>
        <v>2018</v>
      </c>
      <c r="B42" s="6">
        <v>43282</v>
      </c>
      <c r="C42" s="9">
        <v>6</v>
      </c>
      <c r="D42" s="9">
        <v>1</v>
      </c>
      <c r="E42" s="9"/>
      <c r="F42" s="9"/>
      <c r="H42" s="9"/>
      <c r="I42" s="14">
        <f t="shared" si="1"/>
        <v>20</v>
      </c>
      <c r="J42" s="11">
        <v>120</v>
      </c>
      <c r="K42" s="11">
        <v>60</v>
      </c>
      <c r="L42" s="11">
        <f t="shared" si="2"/>
        <v>180</v>
      </c>
      <c r="M42" s="11">
        <f t="shared" si="3"/>
        <v>30</v>
      </c>
      <c r="N42" s="16" t="s">
        <v>334</v>
      </c>
    </row>
    <row r="43" spans="1:14" x14ac:dyDescent="0.3">
      <c r="A43" s="5">
        <f t="shared" si="4"/>
        <v>2018</v>
      </c>
      <c r="B43" s="6">
        <v>43192</v>
      </c>
      <c r="C43" s="9">
        <v>11</v>
      </c>
      <c r="D43" s="9">
        <v>1</v>
      </c>
      <c r="E43" s="9"/>
      <c r="F43" s="9"/>
      <c r="H43" s="9"/>
      <c r="I43" s="14">
        <f t="shared" si="1"/>
        <v>20</v>
      </c>
      <c r="J43" s="11">
        <v>220</v>
      </c>
      <c r="K43" s="11">
        <v>60</v>
      </c>
      <c r="L43" s="11">
        <f t="shared" si="2"/>
        <v>280</v>
      </c>
      <c r="M43" s="11">
        <f t="shared" si="3"/>
        <v>25.454545454545453</v>
      </c>
      <c r="N43" s="16" t="s">
        <v>334</v>
      </c>
    </row>
    <row r="44" spans="1:14" x14ac:dyDescent="0.3">
      <c r="A44" s="5">
        <f t="shared" si="4"/>
        <v>2018</v>
      </c>
      <c r="B44" s="6">
        <v>43192</v>
      </c>
      <c r="C44" s="9">
        <v>6</v>
      </c>
      <c r="D44" s="9">
        <v>1</v>
      </c>
      <c r="E44" s="9"/>
      <c r="F44" s="9"/>
      <c r="H44" s="9"/>
      <c r="I44" s="14">
        <f t="shared" si="1"/>
        <v>20</v>
      </c>
      <c r="J44" s="11">
        <v>120</v>
      </c>
      <c r="K44" s="11">
        <v>60</v>
      </c>
      <c r="L44" s="11">
        <f t="shared" si="2"/>
        <v>180</v>
      </c>
      <c r="M44" s="11">
        <f t="shared" si="3"/>
        <v>30</v>
      </c>
      <c r="N44" s="16" t="s">
        <v>334</v>
      </c>
    </row>
    <row r="45" spans="1:14" x14ac:dyDescent="0.3">
      <c r="A45" s="5">
        <f t="shared" si="4"/>
        <v>2018</v>
      </c>
      <c r="B45" s="6">
        <v>43375</v>
      </c>
      <c r="C45" s="9">
        <v>3</v>
      </c>
      <c r="D45" s="9">
        <v>1</v>
      </c>
      <c r="E45" s="9"/>
      <c r="F45" s="9"/>
      <c r="H45" s="9"/>
      <c r="I45" s="14">
        <f t="shared" si="1"/>
        <v>20</v>
      </c>
      <c r="J45" s="11">
        <v>60</v>
      </c>
      <c r="K45" s="11">
        <v>60</v>
      </c>
      <c r="L45" s="11">
        <f t="shared" si="2"/>
        <v>120</v>
      </c>
      <c r="M45" s="11">
        <f t="shared" si="3"/>
        <v>40</v>
      </c>
      <c r="N45" s="16" t="s">
        <v>334</v>
      </c>
    </row>
    <row r="46" spans="1:14" x14ac:dyDescent="0.3">
      <c r="A46" s="5">
        <f t="shared" si="4"/>
        <v>2018</v>
      </c>
      <c r="B46" s="6" t="s">
        <v>34</v>
      </c>
      <c r="C46" s="9">
        <v>9</v>
      </c>
      <c r="D46" s="9"/>
      <c r="E46" s="9"/>
      <c r="F46" s="9"/>
      <c r="H46" s="9">
        <v>1</v>
      </c>
      <c r="I46" s="14">
        <f t="shared" si="1"/>
        <v>0</v>
      </c>
      <c r="J46" s="11">
        <v>0</v>
      </c>
      <c r="K46" s="11">
        <v>50</v>
      </c>
      <c r="L46" s="11">
        <f t="shared" si="2"/>
        <v>50</v>
      </c>
      <c r="M46" s="11">
        <f t="shared" si="3"/>
        <v>5.5555555555555554</v>
      </c>
      <c r="N46" s="16" t="s">
        <v>334</v>
      </c>
    </row>
    <row r="47" spans="1:14" x14ac:dyDescent="0.3">
      <c r="A47" s="5">
        <f t="shared" si="4"/>
        <v>2018</v>
      </c>
      <c r="B47" s="7" t="s">
        <v>35</v>
      </c>
      <c r="C47" s="9">
        <v>1</v>
      </c>
      <c r="D47" s="9"/>
      <c r="E47" s="9">
        <v>1</v>
      </c>
      <c r="F47" s="9"/>
      <c r="H47" s="9"/>
      <c r="I47" s="14">
        <f t="shared" si="1"/>
        <v>40</v>
      </c>
      <c r="J47" s="11">
        <v>40</v>
      </c>
      <c r="K47" s="11">
        <v>120</v>
      </c>
      <c r="L47" s="11">
        <f t="shared" si="2"/>
        <v>160</v>
      </c>
      <c r="M47" s="11">
        <f t="shared" si="3"/>
        <v>160</v>
      </c>
      <c r="N47" s="16" t="s">
        <v>334</v>
      </c>
    </row>
    <row r="48" spans="1:14" x14ac:dyDescent="0.3">
      <c r="A48" s="5">
        <f t="shared" si="4"/>
        <v>2018</v>
      </c>
      <c r="B48" s="7" t="s">
        <v>36</v>
      </c>
      <c r="C48" s="9">
        <v>5</v>
      </c>
      <c r="D48" s="9">
        <v>1</v>
      </c>
      <c r="E48" s="9"/>
      <c r="F48" s="9"/>
      <c r="H48" s="9"/>
      <c r="I48" s="14">
        <f t="shared" si="1"/>
        <v>20</v>
      </c>
      <c r="J48" s="11">
        <v>100</v>
      </c>
      <c r="K48" s="11">
        <v>60</v>
      </c>
      <c r="L48" s="11">
        <f t="shared" si="2"/>
        <v>160</v>
      </c>
      <c r="M48" s="11">
        <f t="shared" si="3"/>
        <v>32</v>
      </c>
      <c r="N48" s="16"/>
    </row>
    <row r="49" spans="1:14" x14ac:dyDescent="0.3">
      <c r="A49" s="5">
        <f t="shared" si="4"/>
        <v>2018</v>
      </c>
      <c r="B49" s="6">
        <v>43162</v>
      </c>
      <c r="C49" s="9">
        <v>2</v>
      </c>
      <c r="D49" s="9"/>
      <c r="E49" s="9">
        <v>1</v>
      </c>
      <c r="F49" s="9"/>
      <c r="H49" s="9"/>
      <c r="I49" s="14">
        <f t="shared" si="1"/>
        <v>40</v>
      </c>
      <c r="J49" s="11">
        <v>80</v>
      </c>
      <c r="K49" s="11">
        <v>60</v>
      </c>
      <c r="L49" s="11">
        <f t="shared" si="2"/>
        <v>140</v>
      </c>
      <c r="M49" s="11">
        <f t="shared" si="3"/>
        <v>70</v>
      </c>
      <c r="N49" s="8" t="s">
        <v>5</v>
      </c>
    </row>
    <row r="50" spans="1:14" x14ac:dyDescent="0.3">
      <c r="A50" s="5">
        <f t="shared" si="4"/>
        <v>2018</v>
      </c>
      <c r="B50" s="6">
        <v>43193</v>
      </c>
      <c r="C50" s="9">
        <v>4</v>
      </c>
      <c r="D50" s="9">
        <v>1</v>
      </c>
      <c r="E50" s="9"/>
      <c r="F50" s="9"/>
      <c r="H50" s="9"/>
      <c r="I50" s="14">
        <f t="shared" si="1"/>
        <v>20</v>
      </c>
      <c r="J50" s="11">
        <v>80</v>
      </c>
      <c r="K50" s="11">
        <v>60</v>
      </c>
      <c r="L50" s="11">
        <f t="shared" si="2"/>
        <v>140</v>
      </c>
      <c r="M50" s="11">
        <f t="shared" si="3"/>
        <v>35</v>
      </c>
      <c r="N50" s="16"/>
    </row>
    <row r="51" spans="1:14" x14ac:dyDescent="0.3">
      <c r="A51" s="5">
        <f t="shared" si="4"/>
        <v>2018</v>
      </c>
      <c r="B51" s="6" t="s">
        <v>70</v>
      </c>
      <c r="C51" s="9">
        <v>3</v>
      </c>
      <c r="D51" s="9"/>
      <c r="E51" s="9"/>
      <c r="F51" s="9"/>
      <c r="H51" s="9">
        <v>1</v>
      </c>
      <c r="I51" s="14">
        <f t="shared" si="1"/>
        <v>0</v>
      </c>
      <c r="J51" s="11">
        <v>0</v>
      </c>
      <c r="K51" s="11">
        <v>0</v>
      </c>
      <c r="L51" s="11">
        <f t="shared" si="2"/>
        <v>0</v>
      </c>
      <c r="M51" s="11">
        <f t="shared" si="3"/>
        <v>0</v>
      </c>
      <c r="N51" s="16"/>
    </row>
    <row r="52" spans="1:14" x14ac:dyDescent="0.3">
      <c r="A52" s="5">
        <f t="shared" si="4"/>
        <v>2018</v>
      </c>
      <c r="B52" s="7" t="s">
        <v>37</v>
      </c>
      <c r="C52" s="9">
        <v>2</v>
      </c>
      <c r="D52" s="9">
        <v>1</v>
      </c>
      <c r="E52" s="9"/>
      <c r="F52" s="9"/>
      <c r="H52" s="9"/>
      <c r="I52" s="14">
        <f t="shared" si="1"/>
        <v>20</v>
      </c>
      <c r="J52" s="11">
        <v>40</v>
      </c>
      <c r="K52" s="11">
        <v>60</v>
      </c>
      <c r="L52" s="11">
        <f t="shared" si="2"/>
        <v>100</v>
      </c>
      <c r="M52" s="11">
        <f t="shared" si="3"/>
        <v>50</v>
      </c>
      <c r="N52" s="16"/>
    </row>
    <row r="53" spans="1:14" x14ac:dyDescent="0.3">
      <c r="A53" s="5">
        <f t="shared" si="4"/>
        <v>2018</v>
      </c>
      <c r="B53" s="7" t="s">
        <v>38</v>
      </c>
      <c r="C53" s="9">
        <v>7</v>
      </c>
      <c r="D53" s="9">
        <v>1</v>
      </c>
      <c r="E53" s="9"/>
      <c r="F53" s="9"/>
      <c r="H53" s="9"/>
      <c r="I53" s="14">
        <f t="shared" si="1"/>
        <v>14.285714285714286</v>
      </c>
      <c r="J53" s="11">
        <v>100</v>
      </c>
      <c r="K53" s="11">
        <v>0</v>
      </c>
      <c r="L53" s="11">
        <f t="shared" si="2"/>
        <v>100</v>
      </c>
      <c r="M53" s="11">
        <f t="shared" si="3"/>
        <v>14.285714285714286</v>
      </c>
      <c r="N53" s="16"/>
    </row>
    <row r="54" spans="1:14" x14ac:dyDescent="0.3">
      <c r="A54" s="5">
        <f t="shared" si="4"/>
        <v>2018</v>
      </c>
      <c r="B54" s="7" t="s">
        <v>39</v>
      </c>
      <c r="C54" s="9">
        <v>2</v>
      </c>
      <c r="D54" s="9">
        <v>1</v>
      </c>
      <c r="E54" s="9"/>
      <c r="F54" s="9"/>
      <c r="H54" s="9"/>
      <c r="I54" s="14">
        <f t="shared" si="1"/>
        <v>20</v>
      </c>
      <c r="J54" s="11">
        <v>40</v>
      </c>
      <c r="K54" s="11">
        <v>60</v>
      </c>
      <c r="L54" s="11">
        <f t="shared" si="2"/>
        <v>100</v>
      </c>
      <c r="M54" s="11">
        <f t="shared" si="3"/>
        <v>50</v>
      </c>
      <c r="N54" s="16"/>
    </row>
    <row r="55" spans="1:14" x14ac:dyDescent="0.3">
      <c r="A55" s="5">
        <f t="shared" si="4"/>
        <v>2018</v>
      </c>
      <c r="B55" s="7" t="s">
        <v>40</v>
      </c>
      <c r="C55" s="9">
        <v>2</v>
      </c>
      <c r="D55" s="9">
        <v>1</v>
      </c>
      <c r="E55" s="9"/>
      <c r="F55" s="9"/>
      <c r="H55" s="9"/>
      <c r="I55" s="14">
        <f t="shared" si="1"/>
        <v>20</v>
      </c>
      <c r="J55" s="11">
        <v>40</v>
      </c>
      <c r="K55" s="11">
        <v>60</v>
      </c>
      <c r="L55" s="11">
        <f t="shared" si="2"/>
        <v>100</v>
      </c>
      <c r="M55" s="11">
        <f t="shared" si="3"/>
        <v>50</v>
      </c>
      <c r="N55" s="16"/>
    </row>
    <row r="56" spans="1:14" x14ac:dyDescent="0.3">
      <c r="A56" s="5">
        <f t="shared" si="4"/>
        <v>2018</v>
      </c>
      <c r="B56" s="7" t="s">
        <v>41</v>
      </c>
      <c r="C56" s="9">
        <v>3</v>
      </c>
      <c r="D56" s="9">
        <v>1</v>
      </c>
      <c r="E56" s="9"/>
      <c r="F56" s="9"/>
      <c r="H56" s="9"/>
      <c r="I56" s="14">
        <f t="shared" si="1"/>
        <v>20</v>
      </c>
      <c r="J56" s="11">
        <v>60</v>
      </c>
      <c r="K56" s="11">
        <v>60</v>
      </c>
      <c r="L56" s="11">
        <f t="shared" si="2"/>
        <v>120</v>
      </c>
      <c r="M56" s="11">
        <f t="shared" si="3"/>
        <v>40</v>
      </c>
      <c r="N56" s="16"/>
    </row>
    <row r="57" spans="1:14" x14ac:dyDescent="0.3">
      <c r="A57" s="5">
        <f t="shared" si="4"/>
        <v>2018</v>
      </c>
      <c r="B57" s="6">
        <v>43224</v>
      </c>
      <c r="C57" s="9">
        <v>4</v>
      </c>
      <c r="D57" s="9">
        <v>1</v>
      </c>
      <c r="E57" s="9"/>
      <c r="F57" s="9"/>
      <c r="H57" s="9"/>
      <c r="I57" s="14">
        <f t="shared" si="1"/>
        <v>20</v>
      </c>
      <c r="J57" s="11">
        <v>80</v>
      </c>
      <c r="K57" s="11">
        <v>60</v>
      </c>
      <c r="L57" s="11">
        <f t="shared" si="2"/>
        <v>140</v>
      </c>
      <c r="M57" s="11">
        <f t="shared" si="3"/>
        <v>35</v>
      </c>
      <c r="N57" s="16"/>
    </row>
    <row r="58" spans="1:14" x14ac:dyDescent="0.3">
      <c r="A58" s="5">
        <f t="shared" si="4"/>
        <v>2018</v>
      </c>
      <c r="B58" s="7" t="s">
        <v>42</v>
      </c>
      <c r="C58" s="9">
        <v>14</v>
      </c>
      <c r="D58" s="9"/>
      <c r="E58" s="9"/>
      <c r="F58" s="9">
        <v>1</v>
      </c>
      <c r="H58" s="9"/>
      <c r="I58" s="14">
        <f t="shared" si="1"/>
        <v>14.285714285714286</v>
      </c>
      <c r="J58" s="11">
        <v>200</v>
      </c>
      <c r="K58" s="11">
        <v>60</v>
      </c>
      <c r="L58" s="11">
        <f t="shared" si="2"/>
        <v>260</v>
      </c>
      <c r="M58" s="11">
        <f t="shared" si="3"/>
        <v>18.571428571428573</v>
      </c>
      <c r="N58" s="8" t="s">
        <v>72</v>
      </c>
    </row>
    <row r="59" spans="1:14" x14ac:dyDescent="0.3">
      <c r="A59" s="5">
        <f t="shared" si="4"/>
        <v>2018</v>
      </c>
      <c r="B59" s="7" t="s">
        <v>43</v>
      </c>
      <c r="C59" s="9">
        <v>2</v>
      </c>
      <c r="D59" s="9">
        <v>1</v>
      </c>
      <c r="E59" s="9"/>
      <c r="H59" s="9"/>
      <c r="I59" s="14">
        <f t="shared" si="1"/>
        <v>20</v>
      </c>
      <c r="J59" s="11">
        <v>40</v>
      </c>
      <c r="K59" s="11">
        <v>60</v>
      </c>
      <c r="L59" s="11">
        <f t="shared" si="2"/>
        <v>100</v>
      </c>
      <c r="M59" s="11">
        <f t="shared" si="3"/>
        <v>50</v>
      </c>
      <c r="N59" s="16"/>
    </row>
    <row r="60" spans="1:14" x14ac:dyDescent="0.3">
      <c r="A60" s="5">
        <f t="shared" si="4"/>
        <v>2018</v>
      </c>
      <c r="B60" s="7" t="s">
        <v>44</v>
      </c>
      <c r="C60" s="9">
        <v>2</v>
      </c>
      <c r="D60" s="9">
        <v>1</v>
      </c>
      <c r="E60" s="9"/>
      <c r="H60" s="9"/>
      <c r="I60" s="14">
        <f t="shared" si="1"/>
        <v>20</v>
      </c>
      <c r="J60" s="11">
        <v>40</v>
      </c>
      <c r="K60" s="11">
        <v>60</v>
      </c>
      <c r="L60" s="11">
        <f t="shared" si="2"/>
        <v>100</v>
      </c>
      <c r="M60" s="11">
        <f t="shared" si="3"/>
        <v>50</v>
      </c>
      <c r="N60" s="16"/>
    </row>
    <row r="61" spans="1:14" x14ac:dyDescent="0.3">
      <c r="A61" s="5">
        <f t="shared" si="4"/>
        <v>2018</v>
      </c>
      <c r="B61" s="7" t="s">
        <v>45</v>
      </c>
      <c r="C61" s="9">
        <v>2</v>
      </c>
      <c r="D61" s="9">
        <v>1</v>
      </c>
      <c r="E61" s="9"/>
      <c r="H61" s="9"/>
      <c r="I61" s="14">
        <f t="shared" si="1"/>
        <v>20</v>
      </c>
      <c r="J61" s="11">
        <v>40</v>
      </c>
      <c r="K61" s="11">
        <v>60</v>
      </c>
      <c r="L61" s="11">
        <f t="shared" si="2"/>
        <v>100</v>
      </c>
      <c r="M61" s="11">
        <f t="shared" si="3"/>
        <v>50</v>
      </c>
      <c r="N61" s="16"/>
    </row>
    <row r="62" spans="1:14" x14ac:dyDescent="0.3">
      <c r="A62" s="5">
        <f t="shared" si="4"/>
        <v>2018</v>
      </c>
      <c r="B62" s="7" t="s">
        <v>45</v>
      </c>
      <c r="C62" s="9">
        <v>9</v>
      </c>
      <c r="D62" s="9"/>
      <c r="E62" s="9"/>
      <c r="H62" s="9">
        <v>1</v>
      </c>
      <c r="I62" s="14">
        <f t="shared" si="1"/>
        <v>0</v>
      </c>
      <c r="J62" s="11">
        <v>0</v>
      </c>
      <c r="K62" s="11">
        <v>60</v>
      </c>
      <c r="L62" s="11">
        <f t="shared" si="2"/>
        <v>60</v>
      </c>
      <c r="M62" s="11">
        <f t="shared" si="3"/>
        <v>6.666666666666667</v>
      </c>
      <c r="N62" s="8" t="s">
        <v>73</v>
      </c>
    </row>
    <row r="63" spans="1:14" x14ac:dyDescent="0.3">
      <c r="A63" s="5">
        <f t="shared" si="4"/>
        <v>2018</v>
      </c>
      <c r="B63" s="7" t="s">
        <v>46</v>
      </c>
      <c r="C63" s="9">
        <v>2</v>
      </c>
      <c r="D63" s="9">
        <v>1</v>
      </c>
      <c r="E63" s="9"/>
      <c r="H63" s="9"/>
      <c r="I63" s="14">
        <f t="shared" si="1"/>
        <v>20</v>
      </c>
      <c r="J63" s="11">
        <v>40</v>
      </c>
      <c r="K63" s="11">
        <v>40</v>
      </c>
      <c r="L63" s="11">
        <f t="shared" si="2"/>
        <v>80</v>
      </c>
      <c r="M63" s="11">
        <f t="shared" si="3"/>
        <v>40</v>
      </c>
    </row>
    <row r="64" spans="1:14" x14ac:dyDescent="0.3">
      <c r="A64" s="5">
        <f t="shared" si="4"/>
        <v>2018</v>
      </c>
      <c r="B64" s="7" t="s">
        <v>47</v>
      </c>
      <c r="C64" s="9">
        <v>1</v>
      </c>
      <c r="D64" s="9"/>
      <c r="E64" s="9"/>
      <c r="H64" s="9">
        <v>1</v>
      </c>
      <c r="I64" s="14">
        <f t="shared" si="1"/>
        <v>0</v>
      </c>
      <c r="J64" s="11">
        <v>0</v>
      </c>
      <c r="K64" s="11">
        <v>0</v>
      </c>
      <c r="L64" s="11">
        <f t="shared" si="2"/>
        <v>0</v>
      </c>
      <c r="M64" s="11">
        <f t="shared" si="3"/>
        <v>0</v>
      </c>
    </row>
    <row r="65" spans="1:13" x14ac:dyDescent="0.3">
      <c r="A65" s="5">
        <f t="shared" si="4"/>
        <v>2018</v>
      </c>
      <c r="B65" s="7" t="s">
        <v>48</v>
      </c>
      <c r="C65" s="9">
        <v>4</v>
      </c>
      <c r="D65" s="9">
        <v>1</v>
      </c>
      <c r="E65" s="9"/>
      <c r="H65" s="9"/>
      <c r="I65" s="14">
        <f t="shared" si="1"/>
        <v>20</v>
      </c>
      <c r="J65" s="11">
        <v>80</v>
      </c>
      <c r="K65" s="11">
        <v>60</v>
      </c>
      <c r="L65" s="11">
        <f t="shared" si="2"/>
        <v>140</v>
      </c>
      <c r="M65" s="11">
        <f t="shared" si="3"/>
        <v>35</v>
      </c>
    </row>
    <row r="66" spans="1:13" x14ac:dyDescent="0.3">
      <c r="A66" s="5">
        <f t="shared" si="4"/>
        <v>2018</v>
      </c>
      <c r="B66" s="6">
        <v>43105</v>
      </c>
      <c r="C66" s="9">
        <v>4</v>
      </c>
      <c r="D66" s="9">
        <v>1</v>
      </c>
      <c r="E66" s="9"/>
      <c r="H66" s="9"/>
      <c r="I66" s="14">
        <f t="shared" si="1"/>
        <v>20</v>
      </c>
      <c r="J66" s="11">
        <v>80</v>
      </c>
      <c r="K66" s="11">
        <v>60</v>
      </c>
      <c r="L66" s="11">
        <f t="shared" si="2"/>
        <v>140</v>
      </c>
      <c r="M66" s="11">
        <f t="shared" si="3"/>
        <v>35</v>
      </c>
    </row>
    <row r="67" spans="1:13" x14ac:dyDescent="0.3">
      <c r="A67" s="5">
        <f t="shared" si="4"/>
        <v>2018</v>
      </c>
      <c r="B67" s="6">
        <v>43105</v>
      </c>
      <c r="C67" s="9">
        <v>6</v>
      </c>
      <c r="D67" s="9">
        <v>1</v>
      </c>
      <c r="E67" s="9"/>
      <c r="H67" s="9"/>
      <c r="I67" s="14">
        <f t="shared" si="1"/>
        <v>20</v>
      </c>
      <c r="J67" s="11">
        <v>120</v>
      </c>
      <c r="K67" s="11">
        <v>60</v>
      </c>
      <c r="L67" s="11">
        <f t="shared" si="2"/>
        <v>180</v>
      </c>
      <c r="M67" s="11">
        <f t="shared" si="3"/>
        <v>30</v>
      </c>
    </row>
    <row r="68" spans="1:13" x14ac:dyDescent="0.3">
      <c r="A68" s="5">
        <f t="shared" si="4"/>
        <v>2018</v>
      </c>
      <c r="B68" s="6">
        <v>43439</v>
      </c>
      <c r="C68" s="9">
        <v>2</v>
      </c>
      <c r="D68" s="9">
        <v>1</v>
      </c>
      <c r="E68" s="9"/>
      <c r="H68" s="9"/>
      <c r="I68" s="14">
        <f t="shared" si="1"/>
        <v>20</v>
      </c>
      <c r="J68" s="11">
        <v>40</v>
      </c>
      <c r="K68" s="11">
        <v>60</v>
      </c>
      <c r="L68" s="11">
        <f t="shared" si="2"/>
        <v>100</v>
      </c>
      <c r="M68" s="11">
        <f t="shared" si="3"/>
        <v>50</v>
      </c>
    </row>
    <row r="69" spans="1:13" x14ac:dyDescent="0.3">
      <c r="A69" s="5">
        <f t="shared" si="4"/>
        <v>2018</v>
      </c>
      <c r="B69" s="7" t="s">
        <v>49</v>
      </c>
      <c r="C69" s="9">
        <v>2</v>
      </c>
      <c r="D69" s="9">
        <v>1</v>
      </c>
      <c r="E69" s="9"/>
      <c r="H69" s="9"/>
      <c r="I69" s="14">
        <f t="shared" ref="I69:I123" si="5">J69/C69</f>
        <v>20</v>
      </c>
      <c r="J69" s="11">
        <v>40</v>
      </c>
      <c r="K69" s="11">
        <v>60</v>
      </c>
      <c r="L69" s="11">
        <f t="shared" ref="L69:L123" si="6">J69+K69</f>
        <v>100</v>
      </c>
      <c r="M69" s="11">
        <f t="shared" ref="M69:M123" si="7">L69/C69</f>
        <v>50</v>
      </c>
    </row>
    <row r="70" spans="1:13" x14ac:dyDescent="0.3">
      <c r="A70" s="5">
        <f t="shared" si="4"/>
        <v>2018</v>
      </c>
      <c r="B70" s="7" t="s">
        <v>50</v>
      </c>
      <c r="C70" s="9">
        <v>3</v>
      </c>
      <c r="D70" s="9">
        <v>1</v>
      </c>
      <c r="E70" s="9"/>
      <c r="H70" s="9"/>
      <c r="I70" s="14">
        <f t="shared" si="5"/>
        <v>20</v>
      </c>
      <c r="J70" s="11">
        <v>60</v>
      </c>
      <c r="K70" s="11">
        <v>60</v>
      </c>
      <c r="L70" s="11">
        <f t="shared" si="6"/>
        <v>120</v>
      </c>
      <c r="M70" s="11">
        <f t="shared" si="7"/>
        <v>40</v>
      </c>
    </row>
    <row r="71" spans="1:13" x14ac:dyDescent="0.3">
      <c r="A71" s="5">
        <f t="shared" si="4"/>
        <v>2018</v>
      </c>
      <c r="B71" s="6">
        <v>43137</v>
      </c>
      <c r="C71" s="9">
        <v>2</v>
      </c>
      <c r="D71" s="9">
        <v>1</v>
      </c>
      <c r="E71" s="9"/>
      <c r="H71" s="9"/>
      <c r="I71" s="14">
        <f t="shared" si="5"/>
        <v>20</v>
      </c>
      <c r="J71" s="11">
        <v>40</v>
      </c>
      <c r="K71" s="11">
        <v>60</v>
      </c>
      <c r="L71" s="11">
        <f t="shared" si="6"/>
        <v>100</v>
      </c>
      <c r="M71" s="11">
        <f t="shared" si="7"/>
        <v>50</v>
      </c>
    </row>
    <row r="72" spans="1:13" x14ac:dyDescent="0.3">
      <c r="A72" s="5">
        <f t="shared" ref="A72:A125" si="8">IFERROR(YEAR(B72),2000+RIGHT(B72,2))</f>
        <v>2018</v>
      </c>
      <c r="B72" s="6">
        <v>43165</v>
      </c>
      <c r="C72" s="9">
        <v>2</v>
      </c>
      <c r="D72" s="9">
        <v>1</v>
      </c>
      <c r="E72" s="9"/>
      <c r="H72" s="9"/>
      <c r="I72" s="14">
        <f t="shared" si="5"/>
        <v>20</v>
      </c>
      <c r="J72" s="11">
        <v>40</v>
      </c>
      <c r="K72" s="11">
        <v>60</v>
      </c>
      <c r="L72" s="11">
        <f t="shared" si="6"/>
        <v>100</v>
      </c>
      <c r="M72" s="11">
        <f t="shared" si="7"/>
        <v>50</v>
      </c>
    </row>
    <row r="73" spans="1:13" x14ac:dyDescent="0.3">
      <c r="A73" s="5">
        <f t="shared" si="8"/>
        <v>2018</v>
      </c>
      <c r="B73" s="6">
        <v>43165</v>
      </c>
      <c r="C73" s="9">
        <v>7</v>
      </c>
      <c r="D73" s="9">
        <v>1</v>
      </c>
      <c r="E73" s="9"/>
      <c r="H73" s="9"/>
      <c r="I73" s="14">
        <f t="shared" si="5"/>
        <v>20</v>
      </c>
      <c r="J73" s="11">
        <v>140</v>
      </c>
      <c r="K73" s="11">
        <v>60</v>
      </c>
      <c r="L73" s="11">
        <f t="shared" si="6"/>
        <v>200</v>
      </c>
      <c r="M73" s="11">
        <f t="shared" si="7"/>
        <v>28.571428571428573</v>
      </c>
    </row>
    <row r="74" spans="1:13" x14ac:dyDescent="0.3">
      <c r="A74" s="5">
        <f t="shared" si="8"/>
        <v>2018</v>
      </c>
      <c r="B74" s="6">
        <v>43196</v>
      </c>
      <c r="C74" s="9">
        <v>4</v>
      </c>
      <c r="D74" s="9">
        <v>1</v>
      </c>
      <c r="E74" s="9"/>
      <c r="H74" s="9"/>
      <c r="I74" s="14">
        <f t="shared" si="5"/>
        <v>20</v>
      </c>
      <c r="J74" s="11">
        <v>80</v>
      </c>
      <c r="K74" s="11">
        <v>60</v>
      </c>
      <c r="L74" s="11">
        <f t="shared" si="6"/>
        <v>140</v>
      </c>
      <c r="M74" s="11">
        <f t="shared" si="7"/>
        <v>35</v>
      </c>
    </row>
    <row r="75" spans="1:13" x14ac:dyDescent="0.3">
      <c r="A75" s="5">
        <f t="shared" si="8"/>
        <v>2018</v>
      </c>
      <c r="B75" s="6">
        <v>43379</v>
      </c>
      <c r="C75" s="9">
        <v>2</v>
      </c>
      <c r="D75" s="9">
        <v>1</v>
      </c>
      <c r="E75" s="9"/>
      <c r="H75" s="9"/>
      <c r="I75" s="14">
        <f t="shared" si="5"/>
        <v>20</v>
      </c>
      <c r="J75" s="11">
        <v>40</v>
      </c>
      <c r="K75" s="11">
        <v>60</v>
      </c>
      <c r="L75" s="11">
        <f t="shared" si="6"/>
        <v>100</v>
      </c>
      <c r="M75" s="11">
        <f t="shared" si="7"/>
        <v>50</v>
      </c>
    </row>
    <row r="76" spans="1:13" x14ac:dyDescent="0.3">
      <c r="A76" s="5">
        <f t="shared" si="8"/>
        <v>2018</v>
      </c>
      <c r="B76" s="6">
        <v>43410</v>
      </c>
      <c r="C76" s="9">
        <v>2</v>
      </c>
      <c r="D76" s="9">
        <v>1</v>
      </c>
      <c r="E76" s="9"/>
      <c r="H76" s="9"/>
      <c r="I76" s="14">
        <f t="shared" si="5"/>
        <v>20</v>
      </c>
      <c r="J76" s="11">
        <v>40</v>
      </c>
      <c r="K76" s="11">
        <v>60</v>
      </c>
      <c r="L76" s="11">
        <f t="shared" si="6"/>
        <v>100</v>
      </c>
      <c r="M76" s="11">
        <f t="shared" si="7"/>
        <v>50</v>
      </c>
    </row>
    <row r="77" spans="1:13" x14ac:dyDescent="0.3">
      <c r="A77" s="5">
        <f t="shared" si="8"/>
        <v>2018</v>
      </c>
      <c r="B77" s="6">
        <v>43107</v>
      </c>
      <c r="C77" s="9">
        <v>2</v>
      </c>
      <c r="D77" s="9">
        <v>1</v>
      </c>
      <c r="E77" s="9"/>
      <c r="H77" s="9"/>
      <c r="I77" s="14">
        <f t="shared" si="5"/>
        <v>20</v>
      </c>
      <c r="J77" s="11">
        <v>40</v>
      </c>
      <c r="K77" s="11">
        <v>60</v>
      </c>
      <c r="L77" s="11">
        <f t="shared" si="6"/>
        <v>100</v>
      </c>
      <c r="M77" s="11">
        <f t="shared" si="7"/>
        <v>50</v>
      </c>
    </row>
    <row r="78" spans="1:13" x14ac:dyDescent="0.3">
      <c r="A78" s="5">
        <f t="shared" si="8"/>
        <v>2018</v>
      </c>
      <c r="B78" s="6">
        <v>43107</v>
      </c>
      <c r="C78" s="9">
        <v>4</v>
      </c>
      <c r="D78" s="9">
        <v>1</v>
      </c>
      <c r="E78" s="9"/>
      <c r="H78" s="9"/>
      <c r="I78" s="14">
        <f t="shared" si="5"/>
        <v>20</v>
      </c>
      <c r="J78" s="11">
        <v>80</v>
      </c>
      <c r="K78" s="11">
        <v>60</v>
      </c>
      <c r="L78" s="11">
        <f t="shared" si="6"/>
        <v>140</v>
      </c>
      <c r="M78" s="11">
        <f t="shared" si="7"/>
        <v>35</v>
      </c>
    </row>
    <row r="79" spans="1:13" x14ac:dyDescent="0.3">
      <c r="A79" s="5">
        <f t="shared" si="8"/>
        <v>2018</v>
      </c>
      <c r="B79" s="6">
        <v>43138</v>
      </c>
      <c r="C79" s="9">
        <v>5</v>
      </c>
      <c r="D79" s="9">
        <v>1</v>
      </c>
      <c r="E79" s="9"/>
      <c r="H79" s="9"/>
      <c r="I79" s="14">
        <f t="shared" si="5"/>
        <v>20</v>
      </c>
      <c r="J79" s="11">
        <v>100</v>
      </c>
      <c r="K79" s="11">
        <v>60</v>
      </c>
      <c r="L79" s="11">
        <f t="shared" si="6"/>
        <v>160</v>
      </c>
      <c r="M79" s="11">
        <f t="shared" si="7"/>
        <v>32</v>
      </c>
    </row>
    <row r="80" spans="1:13" x14ac:dyDescent="0.3">
      <c r="A80" s="5">
        <f t="shared" si="8"/>
        <v>2018</v>
      </c>
      <c r="B80" s="6">
        <v>43138</v>
      </c>
      <c r="C80" s="9">
        <v>2</v>
      </c>
      <c r="D80" s="9">
        <v>1</v>
      </c>
      <c r="E80" s="9"/>
      <c r="H80" s="9"/>
      <c r="I80" s="14">
        <f t="shared" si="5"/>
        <v>20</v>
      </c>
      <c r="J80" s="11">
        <v>40</v>
      </c>
      <c r="K80" s="11">
        <v>60</v>
      </c>
      <c r="L80" s="11">
        <f t="shared" si="6"/>
        <v>100</v>
      </c>
      <c r="M80" s="11">
        <f t="shared" si="7"/>
        <v>50</v>
      </c>
    </row>
    <row r="81" spans="1:13" x14ac:dyDescent="0.3">
      <c r="A81" s="5">
        <f t="shared" si="8"/>
        <v>2018</v>
      </c>
      <c r="B81" s="6">
        <v>43319</v>
      </c>
      <c r="C81" s="9">
        <v>2</v>
      </c>
      <c r="D81" s="9">
        <v>1</v>
      </c>
      <c r="E81" s="9"/>
      <c r="H81" s="9"/>
      <c r="I81" s="14">
        <f t="shared" si="5"/>
        <v>20</v>
      </c>
      <c r="J81" s="11">
        <v>40</v>
      </c>
      <c r="K81" s="11">
        <v>60</v>
      </c>
      <c r="L81" s="11">
        <f t="shared" si="6"/>
        <v>100</v>
      </c>
      <c r="M81" s="11">
        <f t="shared" si="7"/>
        <v>50</v>
      </c>
    </row>
    <row r="82" spans="1:13" x14ac:dyDescent="0.3">
      <c r="A82" s="5">
        <f t="shared" si="8"/>
        <v>2018</v>
      </c>
      <c r="B82" s="7" t="s">
        <v>51</v>
      </c>
      <c r="C82" s="9">
        <v>2</v>
      </c>
      <c r="D82" s="9">
        <v>1</v>
      </c>
      <c r="E82" s="9"/>
      <c r="H82" s="9"/>
      <c r="I82" s="14">
        <f t="shared" si="5"/>
        <v>20</v>
      </c>
      <c r="J82" s="11">
        <v>40</v>
      </c>
      <c r="K82" s="11">
        <v>60</v>
      </c>
      <c r="L82" s="11">
        <f t="shared" si="6"/>
        <v>100</v>
      </c>
      <c r="M82" s="11">
        <f t="shared" si="7"/>
        <v>50</v>
      </c>
    </row>
    <row r="83" spans="1:13" x14ac:dyDescent="0.3">
      <c r="A83" s="5">
        <f t="shared" si="8"/>
        <v>2018</v>
      </c>
      <c r="B83" s="7" t="s">
        <v>52</v>
      </c>
      <c r="C83" s="9">
        <v>8</v>
      </c>
      <c r="D83" s="9"/>
      <c r="E83" s="9">
        <v>1</v>
      </c>
      <c r="H83" s="9"/>
      <c r="I83" s="14">
        <f t="shared" si="5"/>
        <v>40</v>
      </c>
      <c r="J83" s="11">
        <v>320</v>
      </c>
      <c r="K83" s="11">
        <v>80</v>
      </c>
      <c r="L83" s="11">
        <f t="shared" si="6"/>
        <v>400</v>
      </c>
      <c r="M83" s="11">
        <f t="shared" si="7"/>
        <v>50</v>
      </c>
    </row>
    <row r="84" spans="1:13" x14ac:dyDescent="0.3">
      <c r="A84" s="5">
        <f t="shared" si="8"/>
        <v>2018</v>
      </c>
      <c r="B84" s="7" t="s">
        <v>53</v>
      </c>
      <c r="C84" s="9">
        <v>2</v>
      </c>
      <c r="D84" s="9">
        <v>1</v>
      </c>
      <c r="E84" s="9"/>
      <c r="H84" s="9"/>
      <c r="I84" s="14">
        <f t="shared" si="5"/>
        <v>20</v>
      </c>
      <c r="J84" s="11">
        <v>40</v>
      </c>
      <c r="K84" s="11">
        <v>60</v>
      </c>
      <c r="L84" s="11">
        <f t="shared" si="6"/>
        <v>100</v>
      </c>
      <c r="M84" s="11">
        <f t="shared" si="7"/>
        <v>50</v>
      </c>
    </row>
    <row r="85" spans="1:13" x14ac:dyDescent="0.3">
      <c r="A85" s="5">
        <f t="shared" si="8"/>
        <v>2018</v>
      </c>
      <c r="B85" s="7" t="s">
        <v>53</v>
      </c>
      <c r="C85" s="9">
        <v>5</v>
      </c>
      <c r="D85" s="9">
        <v>1</v>
      </c>
      <c r="E85" s="9"/>
      <c r="H85" s="9"/>
      <c r="I85" s="14">
        <f t="shared" si="5"/>
        <v>20</v>
      </c>
      <c r="J85" s="11">
        <v>100</v>
      </c>
      <c r="K85" s="11">
        <v>60</v>
      </c>
      <c r="L85" s="11">
        <f t="shared" si="6"/>
        <v>160</v>
      </c>
      <c r="M85" s="11">
        <f t="shared" si="7"/>
        <v>32</v>
      </c>
    </row>
    <row r="86" spans="1:13" x14ac:dyDescent="0.3">
      <c r="A86" s="5">
        <f t="shared" si="8"/>
        <v>2018</v>
      </c>
      <c r="B86" s="6">
        <v>43228</v>
      </c>
      <c r="C86" s="9">
        <v>3</v>
      </c>
      <c r="D86" s="9"/>
      <c r="E86" s="9"/>
      <c r="H86" s="9">
        <v>1</v>
      </c>
      <c r="I86" s="14">
        <f t="shared" si="5"/>
        <v>0</v>
      </c>
      <c r="J86" s="11">
        <v>0</v>
      </c>
      <c r="K86" s="11">
        <v>60</v>
      </c>
      <c r="L86" s="11">
        <f t="shared" si="6"/>
        <v>60</v>
      </c>
      <c r="M86" s="11">
        <f t="shared" si="7"/>
        <v>20</v>
      </c>
    </row>
    <row r="87" spans="1:13" x14ac:dyDescent="0.3">
      <c r="A87" s="5">
        <f t="shared" si="8"/>
        <v>2018</v>
      </c>
      <c r="B87" s="6">
        <v>43289</v>
      </c>
      <c r="C87" s="9">
        <v>5</v>
      </c>
      <c r="D87" s="9">
        <v>1</v>
      </c>
      <c r="E87" s="9"/>
      <c r="H87" s="9"/>
      <c r="I87" s="14">
        <f t="shared" si="5"/>
        <v>20</v>
      </c>
      <c r="J87" s="11">
        <v>100</v>
      </c>
      <c r="K87" s="11">
        <v>60</v>
      </c>
      <c r="L87" s="11">
        <f t="shared" si="6"/>
        <v>160</v>
      </c>
      <c r="M87" s="11">
        <f t="shared" si="7"/>
        <v>32</v>
      </c>
    </row>
    <row r="88" spans="1:13" x14ac:dyDescent="0.3">
      <c r="A88" s="5">
        <f t="shared" si="8"/>
        <v>2018</v>
      </c>
      <c r="B88" s="6">
        <v>43321</v>
      </c>
      <c r="C88" s="9">
        <v>4</v>
      </c>
      <c r="D88" s="9">
        <v>1</v>
      </c>
      <c r="E88" s="9"/>
      <c r="H88" s="9"/>
      <c r="I88" s="14">
        <f t="shared" si="5"/>
        <v>20</v>
      </c>
      <c r="J88" s="11">
        <v>80</v>
      </c>
      <c r="K88" s="11">
        <v>60</v>
      </c>
      <c r="L88" s="11">
        <f t="shared" si="6"/>
        <v>140</v>
      </c>
      <c r="M88" s="11">
        <f t="shared" si="7"/>
        <v>35</v>
      </c>
    </row>
    <row r="89" spans="1:13" x14ac:dyDescent="0.3">
      <c r="A89" s="5">
        <f t="shared" si="8"/>
        <v>2018</v>
      </c>
      <c r="B89" s="7" t="s">
        <v>54</v>
      </c>
      <c r="C89" s="9">
        <v>2</v>
      </c>
      <c r="D89" s="9">
        <v>1</v>
      </c>
      <c r="E89" s="9"/>
      <c r="H89" s="9"/>
      <c r="I89" s="14">
        <f t="shared" si="5"/>
        <v>20</v>
      </c>
      <c r="J89" s="11">
        <v>40</v>
      </c>
      <c r="K89" s="11">
        <v>60</v>
      </c>
      <c r="L89" s="11">
        <f t="shared" si="6"/>
        <v>100</v>
      </c>
      <c r="M89" s="11">
        <f t="shared" si="7"/>
        <v>50</v>
      </c>
    </row>
    <row r="90" spans="1:13" x14ac:dyDescent="0.3">
      <c r="A90" s="5">
        <f t="shared" si="8"/>
        <v>2018</v>
      </c>
      <c r="B90" s="7" t="s">
        <v>55</v>
      </c>
      <c r="C90" s="9">
        <v>6</v>
      </c>
      <c r="D90" s="9">
        <v>1</v>
      </c>
      <c r="E90" s="9"/>
      <c r="H90" s="9"/>
      <c r="I90" s="14">
        <f t="shared" si="5"/>
        <v>20</v>
      </c>
      <c r="J90" s="11">
        <v>120</v>
      </c>
      <c r="K90" s="11">
        <v>60</v>
      </c>
      <c r="L90" s="11">
        <f t="shared" si="6"/>
        <v>180</v>
      </c>
      <c r="M90" s="11">
        <f t="shared" si="7"/>
        <v>30</v>
      </c>
    </row>
    <row r="91" spans="1:13" x14ac:dyDescent="0.3">
      <c r="A91" s="5">
        <f t="shared" si="8"/>
        <v>2018</v>
      </c>
      <c r="B91" s="7" t="s">
        <v>55</v>
      </c>
      <c r="C91" s="9">
        <v>2</v>
      </c>
      <c r="D91" s="9">
        <v>1</v>
      </c>
      <c r="E91" s="9"/>
      <c r="H91" s="9"/>
      <c r="I91" s="14">
        <f t="shared" si="5"/>
        <v>20</v>
      </c>
      <c r="J91" s="11">
        <v>40</v>
      </c>
      <c r="K91" s="11">
        <v>60</v>
      </c>
      <c r="L91" s="11">
        <f t="shared" si="6"/>
        <v>100</v>
      </c>
      <c r="M91" s="11">
        <f t="shared" si="7"/>
        <v>50</v>
      </c>
    </row>
    <row r="92" spans="1:13" x14ac:dyDescent="0.3">
      <c r="A92" s="5">
        <f t="shared" si="8"/>
        <v>2018</v>
      </c>
      <c r="B92" s="7" t="s">
        <v>56</v>
      </c>
      <c r="C92" s="9">
        <v>4</v>
      </c>
      <c r="D92" s="9">
        <v>1</v>
      </c>
      <c r="E92" s="9"/>
      <c r="H92" s="9"/>
      <c r="I92" s="14">
        <f t="shared" si="5"/>
        <v>20</v>
      </c>
      <c r="J92" s="11">
        <v>80</v>
      </c>
      <c r="K92" s="11">
        <v>60</v>
      </c>
      <c r="L92" s="11">
        <f t="shared" si="6"/>
        <v>140</v>
      </c>
      <c r="M92" s="11">
        <f t="shared" si="7"/>
        <v>35</v>
      </c>
    </row>
    <row r="93" spans="1:13" x14ac:dyDescent="0.3">
      <c r="A93" s="5">
        <f t="shared" si="8"/>
        <v>2018</v>
      </c>
      <c r="B93" s="7" t="s">
        <v>56</v>
      </c>
      <c r="C93" s="9">
        <v>5</v>
      </c>
      <c r="D93" s="9">
        <v>1</v>
      </c>
      <c r="E93" s="9"/>
      <c r="H93" s="9"/>
      <c r="I93" s="14">
        <f t="shared" si="5"/>
        <v>20</v>
      </c>
      <c r="J93" s="11">
        <v>100</v>
      </c>
      <c r="K93" s="11">
        <v>60</v>
      </c>
      <c r="L93" s="11">
        <f t="shared" si="6"/>
        <v>160</v>
      </c>
      <c r="M93" s="11">
        <f t="shared" si="7"/>
        <v>32</v>
      </c>
    </row>
    <row r="94" spans="1:13" x14ac:dyDescent="0.3">
      <c r="A94" s="5">
        <f t="shared" si="8"/>
        <v>2018</v>
      </c>
      <c r="B94" s="7" t="s">
        <v>57</v>
      </c>
      <c r="C94" s="9">
        <v>13</v>
      </c>
      <c r="D94" s="9">
        <v>1</v>
      </c>
      <c r="E94" s="9"/>
      <c r="H94" s="9"/>
      <c r="I94" s="14">
        <f t="shared" si="5"/>
        <v>20</v>
      </c>
      <c r="J94" s="11">
        <v>260</v>
      </c>
      <c r="K94" s="11">
        <v>60</v>
      </c>
      <c r="L94" s="11">
        <f t="shared" si="6"/>
        <v>320</v>
      </c>
      <c r="M94" s="11">
        <f t="shared" si="7"/>
        <v>24.615384615384617</v>
      </c>
    </row>
    <row r="95" spans="1:13" x14ac:dyDescent="0.3">
      <c r="A95" s="5">
        <f t="shared" si="8"/>
        <v>2018</v>
      </c>
      <c r="B95" s="7" t="s">
        <v>58</v>
      </c>
      <c r="C95" s="9">
        <v>3</v>
      </c>
      <c r="D95" s="9">
        <v>1</v>
      </c>
      <c r="E95" s="9"/>
      <c r="H95" s="9"/>
      <c r="I95" s="14">
        <f t="shared" si="5"/>
        <v>20</v>
      </c>
      <c r="J95" s="11">
        <v>60</v>
      </c>
      <c r="K95" s="11">
        <v>60</v>
      </c>
      <c r="L95" s="11">
        <f t="shared" si="6"/>
        <v>120</v>
      </c>
      <c r="M95" s="11">
        <f t="shared" si="7"/>
        <v>40</v>
      </c>
    </row>
    <row r="96" spans="1:13" x14ac:dyDescent="0.3">
      <c r="A96" s="5">
        <f t="shared" si="8"/>
        <v>2018</v>
      </c>
      <c r="B96" s="7" t="s">
        <v>59</v>
      </c>
      <c r="C96" s="9">
        <v>6</v>
      </c>
      <c r="D96" s="9"/>
      <c r="E96" s="9"/>
      <c r="H96" s="9">
        <v>1</v>
      </c>
      <c r="I96" s="14">
        <f t="shared" si="5"/>
        <v>0</v>
      </c>
      <c r="J96" s="11">
        <v>0</v>
      </c>
      <c r="K96" s="11">
        <v>60</v>
      </c>
      <c r="L96" s="11">
        <f t="shared" si="6"/>
        <v>60</v>
      </c>
      <c r="M96" s="11">
        <f t="shared" si="7"/>
        <v>10</v>
      </c>
    </row>
    <row r="97" spans="1:13" x14ac:dyDescent="0.3">
      <c r="A97" s="5">
        <f t="shared" si="8"/>
        <v>2018</v>
      </c>
      <c r="B97" s="6">
        <v>43444</v>
      </c>
      <c r="C97" s="9">
        <v>6</v>
      </c>
      <c r="D97" s="9">
        <v>1</v>
      </c>
      <c r="E97" s="9"/>
      <c r="H97" s="9"/>
      <c r="I97" s="14">
        <f t="shared" si="5"/>
        <v>20</v>
      </c>
      <c r="J97" s="11">
        <v>120</v>
      </c>
      <c r="K97" s="11">
        <v>60</v>
      </c>
      <c r="L97" s="11">
        <f t="shared" si="6"/>
        <v>180</v>
      </c>
      <c r="M97" s="11">
        <f t="shared" si="7"/>
        <v>30</v>
      </c>
    </row>
    <row r="98" spans="1:13" x14ac:dyDescent="0.3">
      <c r="A98" s="5">
        <f t="shared" si="8"/>
        <v>2018</v>
      </c>
      <c r="B98" s="6" t="s">
        <v>60</v>
      </c>
      <c r="C98" s="9">
        <v>7</v>
      </c>
      <c r="D98" s="9">
        <v>1</v>
      </c>
      <c r="E98" s="9"/>
      <c r="H98" s="9"/>
      <c r="I98" s="14">
        <f t="shared" si="5"/>
        <v>20</v>
      </c>
      <c r="J98" s="11">
        <v>140</v>
      </c>
      <c r="K98" s="11">
        <v>60</v>
      </c>
      <c r="L98" s="11">
        <f t="shared" si="6"/>
        <v>200</v>
      </c>
      <c r="M98" s="11">
        <f t="shared" si="7"/>
        <v>28.571428571428573</v>
      </c>
    </row>
    <row r="99" spans="1:13" x14ac:dyDescent="0.3">
      <c r="A99" s="5">
        <f t="shared" si="8"/>
        <v>2018</v>
      </c>
      <c r="B99" s="7" t="s">
        <v>61</v>
      </c>
      <c r="C99" s="9">
        <v>2</v>
      </c>
      <c r="D99" s="9">
        <v>1</v>
      </c>
      <c r="E99" s="9"/>
      <c r="H99" s="9"/>
      <c r="I99" s="14">
        <f t="shared" si="5"/>
        <v>20</v>
      </c>
      <c r="J99" s="11">
        <v>40</v>
      </c>
      <c r="K99" s="11">
        <v>60</v>
      </c>
      <c r="L99" s="11">
        <f t="shared" si="6"/>
        <v>100</v>
      </c>
      <c r="M99" s="11">
        <f t="shared" si="7"/>
        <v>50</v>
      </c>
    </row>
    <row r="100" spans="1:13" x14ac:dyDescent="0.3">
      <c r="A100" s="5">
        <f t="shared" si="8"/>
        <v>2018</v>
      </c>
      <c r="B100" s="6">
        <v>43170</v>
      </c>
      <c r="C100" s="9">
        <v>2</v>
      </c>
      <c r="D100" s="9">
        <v>1</v>
      </c>
      <c r="E100" s="9"/>
      <c r="H100" s="9"/>
      <c r="I100" s="14">
        <f t="shared" si="5"/>
        <v>20</v>
      </c>
      <c r="J100" s="11">
        <v>40</v>
      </c>
      <c r="K100" s="11">
        <v>60</v>
      </c>
      <c r="L100" s="11">
        <f t="shared" si="6"/>
        <v>100</v>
      </c>
      <c r="M100" s="11">
        <f t="shared" si="7"/>
        <v>50</v>
      </c>
    </row>
    <row r="101" spans="1:13" x14ac:dyDescent="0.3">
      <c r="A101" s="5">
        <f t="shared" si="8"/>
        <v>2018</v>
      </c>
      <c r="B101" s="6">
        <v>43201</v>
      </c>
      <c r="C101" s="9">
        <v>5</v>
      </c>
      <c r="D101" s="9">
        <v>1</v>
      </c>
      <c r="E101" s="9"/>
      <c r="H101" s="9"/>
      <c r="I101" s="14">
        <f t="shared" si="5"/>
        <v>20</v>
      </c>
      <c r="J101" s="11">
        <v>100</v>
      </c>
      <c r="K101" s="11">
        <v>60</v>
      </c>
      <c r="L101" s="11">
        <f t="shared" si="6"/>
        <v>160</v>
      </c>
      <c r="M101" s="11">
        <f t="shared" si="7"/>
        <v>32</v>
      </c>
    </row>
    <row r="102" spans="1:13" x14ac:dyDescent="0.3">
      <c r="A102" s="5">
        <f t="shared" si="8"/>
        <v>2018</v>
      </c>
      <c r="B102" s="6">
        <v>43201</v>
      </c>
      <c r="C102" s="9">
        <v>6</v>
      </c>
      <c r="D102" s="9"/>
      <c r="E102" s="9">
        <v>1</v>
      </c>
      <c r="H102" s="9"/>
      <c r="I102" s="14">
        <f t="shared" si="5"/>
        <v>40</v>
      </c>
      <c r="J102" s="11">
        <v>240</v>
      </c>
      <c r="K102" s="11">
        <v>60</v>
      </c>
      <c r="L102" s="11">
        <f t="shared" si="6"/>
        <v>300</v>
      </c>
      <c r="M102" s="11">
        <f t="shared" si="7"/>
        <v>50</v>
      </c>
    </row>
    <row r="103" spans="1:13" x14ac:dyDescent="0.3">
      <c r="A103" s="5">
        <f t="shared" si="8"/>
        <v>2018</v>
      </c>
      <c r="B103" s="6">
        <v>43231</v>
      </c>
      <c r="C103" s="9">
        <v>7</v>
      </c>
      <c r="D103" s="9">
        <v>1</v>
      </c>
      <c r="E103" s="9"/>
      <c r="H103" s="9"/>
      <c r="I103" s="14">
        <f t="shared" si="5"/>
        <v>20</v>
      </c>
      <c r="J103" s="11">
        <v>140</v>
      </c>
      <c r="K103" s="11">
        <v>60</v>
      </c>
      <c r="L103" s="11">
        <f t="shared" si="6"/>
        <v>200</v>
      </c>
      <c r="M103" s="11">
        <f t="shared" si="7"/>
        <v>28.571428571428573</v>
      </c>
    </row>
    <row r="104" spans="1:13" x14ac:dyDescent="0.3">
      <c r="A104" s="5">
        <f t="shared" si="8"/>
        <v>2018</v>
      </c>
      <c r="B104" s="6">
        <v>43384</v>
      </c>
      <c r="C104" s="9">
        <v>3</v>
      </c>
      <c r="D104" s="9">
        <v>1</v>
      </c>
      <c r="E104" s="9"/>
      <c r="H104" s="9"/>
      <c r="I104" s="14">
        <f t="shared" si="5"/>
        <v>20</v>
      </c>
      <c r="J104" s="11">
        <v>60</v>
      </c>
      <c r="K104" s="11">
        <v>60</v>
      </c>
      <c r="L104" s="11">
        <f t="shared" si="6"/>
        <v>120</v>
      </c>
      <c r="M104" s="11">
        <f t="shared" si="7"/>
        <v>40</v>
      </c>
    </row>
    <row r="105" spans="1:13" x14ac:dyDescent="0.3">
      <c r="A105" s="5">
        <f t="shared" si="8"/>
        <v>2018</v>
      </c>
      <c r="B105" s="6">
        <v>43415</v>
      </c>
      <c r="C105" s="9">
        <v>6</v>
      </c>
      <c r="D105" s="9">
        <v>1</v>
      </c>
      <c r="E105" s="9"/>
      <c r="H105" s="9"/>
      <c r="I105" s="14">
        <f t="shared" si="5"/>
        <v>20</v>
      </c>
      <c r="J105" s="11">
        <v>120</v>
      </c>
      <c r="K105" s="11">
        <v>60</v>
      </c>
      <c r="L105" s="11">
        <f t="shared" si="6"/>
        <v>180</v>
      </c>
      <c r="M105" s="11">
        <f t="shared" si="7"/>
        <v>30</v>
      </c>
    </row>
    <row r="106" spans="1:13" x14ac:dyDescent="0.3">
      <c r="A106" s="5">
        <f t="shared" si="8"/>
        <v>2018</v>
      </c>
      <c r="B106" s="7" t="s">
        <v>62</v>
      </c>
      <c r="C106" s="9">
        <v>2</v>
      </c>
      <c r="D106" s="9">
        <v>1</v>
      </c>
      <c r="E106" s="9"/>
      <c r="H106" s="9"/>
      <c r="I106" s="14">
        <f t="shared" si="5"/>
        <v>20</v>
      </c>
      <c r="J106" s="11">
        <v>40</v>
      </c>
      <c r="K106" s="11">
        <v>60</v>
      </c>
      <c r="L106" s="11">
        <f t="shared" si="6"/>
        <v>100</v>
      </c>
      <c r="M106" s="11">
        <f t="shared" si="7"/>
        <v>50</v>
      </c>
    </row>
    <row r="107" spans="1:13" x14ac:dyDescent="0.3">
      <c r="A107" s="5">
        <f t="shared" si="8"/>
        <v>2018</v>
      </c>
      <c r="B107" s="6">
        <v>43112</v>
      </c>
      <c r="C107" s="9">
        <v>4</v>
      </c>
      <c r="D107" s="9">
        <v>1</v>
      </c>
      <c r="E107" s="9"/>
      <c r="H107" s="9"/>
      <c r="I107" s="14">
        <f t="shared" si="5"/>
        <v>20</v>
      </c>
      <c r="J107" s="11">
        <v>80</v>
      </c>
      <c r="K107" s="11">
        <v>60</v>
      </c>
      <c r="L107" s="11">
        <f t="shared" si="6"/>
        <v>140</v>
      </c>
      <c r="M107" s="11">
        <f t="shared" si="7"/>
        <v>35</v>
      </c>
    </row>
    <row r="108" spans="1:13" x14ac:dyDescent="0.3">
      <c r="A108" s="5">
        <f t="shared" si="8"/>
        <v>2018</v>
      </c>
      <c r="B108" s="6">
        <v>43143</v>
      </c>
      <c r="C108" s="9">
        <v>2</v>
      </c>
      <c r="D108" s="9">
        <v>1</v>
      </c>
      <c r="E108" s="9"/>
      <c r="H108" s="9"/>
      <c r="I108" s="14">
        <f t="shared" si="5"/>
        <v>20</v>
      </c>
      <c r="J108" s="11">
        <v>40</v>
      </c>
      <c r="K108" s="11">
        <v>60</v>
      </c>
      <c r="L108" s="11">
        <f t="shared" si="6"/>
        <v>100</v>
      </c>
      <c r="M108" s="11">
        <f t="shared" si="7"/>
        <v>50</v>
      </c>
    </row>
    <row r="109" spans="1:13" x14ac:dyDescent="0.3">
      <c r="A109" s="5">
        <f t="shared" si="8"/>
        <v>2018</v>
      </c>
      <c r="B109" s="7" t="s">
        <v>63</v>
      </c>
      <c r="C109" s="9">
        <v>6</v>
      </c>
      <c r="D109" s="9">
        <v>1</v>
      </c>
      <c r="E109" s="9"/>
      <c r="H109" s="9"/>
      <c r="I109" s="14">
        <f t="shared" si="5"/>
        <v>20</v>
      </c>
      <c r="J109" s="11">
        <v>120</v>
      </c>
      <c r="K109" s="11">
        <v>60</v>
      </c>
      <c r="L109" s="11">
        <f t="shared" si="6"/>
        <v>180</v>
      </c>
      <c r="M109" s="11">
        <f t="shared" si="7"/>
        <v>30</v>
      </c>
    </row>
    <row r="110" spans="1:13" x14ac:dyDescent="0.3">
      <c r="A110" s="5">
        <f t="shared" si="8"/>
        <v>2018</v>
      </c>
      <c r="B110" s="7" t="s">
        <v>64</v>
      </c>
      <c r="C110" s="9">
        <v>5</v>
      </c>
      <c r="D110" s="9"/>
      <c r="E110" s="9"/>
      <c r="H110" s="9">
        <v>1</v>
      </c>
      <c r="I110" s="14">
        <f t="shared" si="5"/>
        <v>0</v>
      </c>
      <c r="J110" s="11">
        <v>0</v>
      </c>
      <c r="K110" s="11">
        <v>60</v>
      </c>
      <c r="L110" s="11">
        <f t="shared" si="6"/>
        <v>60</v>
      </c>
      <c r="M110" s="11">
        <f t="shared" si="7"/>
        <v>12</v>
      </c>
    </row>
    <row r="111" spans="1:13" x14ac:dyDescent="0.3">
      <c r="A111" s="5">
        <f t="shared" si="8"/>
        <v>2018</v>
      </c>
      <c r="B111" s="7" t="s">
        <v>65</v>
      </c>
      <c r="C111" s="9">
        <v>4</v>
      </c>
      <c r="D111" s="9">
        <v>1</v>
      </c>
      <c r="E111" s="9"/>
      <c r="I111" s="14">
        <f t="shared" si="5"/>
        <v>20</v>
      </c>
      <c r="J111" s="11">
        <v>80</v>
      </c>
      <c r="K111" s="11">
        <v>60</v>
      </c>
      <c r="L111" s="11">
        <f t="shared" si="6"/>
        <v>140</v>
      </c>
      <c r="M111" s="11">
        <f t="shared" si="7"/>
        <v>35</v>
      </c>
    </row>
    <row r="112" spans="1:13" x14ac:dyDescent="0.3">
      <c r="A112" s="5">
        <f t="shared" si="8"/>
        <v>2018</v>
      </c>
      <c r="B112" s="7" t="s">
        <v>66</v>
      </c>
      <c r="C112" s="9">
        <v>2</v>
      </c>
      <c r="D112" s="9"/>
      <c r="E112" s="9">
        <v>1</v>
      </c>
      <c r="I112" s="14">
        <f t="shared" si="5"/>
        <v>40</v>
      </c>
      <c r="J112" s="11">
        <v>80</v>
      </c>
      <c r="K112" s="11">
        <v>60</v>
      </c>
      <c r="L112" s="11">
        <f t="shared" si="6"/>
        <v>140</v>
      </c>
      <c r="M112" s="11">
        <f t="shared" si="7"/>
        <v>70</v>
      </c>
    </row>
    <row r="113" spans="1:13" x14ac:dyDescent="0.3">
      <c r="A113" s="5">
        <f t="shared" si="8"/>
        <v>2018</v>
      </c>
      <c r="B113" s="7" t="s">
        <v>67</v>
      </c>
      <c r="C113" s="9">
        <v>6</v>
      </c>
      <c r="D113" s="9">
        <v>1</v>
      </c>
      <c r="E113" s="9"/>
      <c r="I113" s="14">
        <f t="shared" si="5"/>
        <v>20</v>
      </c>
      <c r="J113" s="11">
        <v>120</v>
      </c>
      <c r="K113" s="11">
        <v>60</v>
      </c>
      <c r="L113" s="11">
        <f t="shared" si="6"/>
        <v>180</v>
      </c>
      <c r="M113" s="11">
        <f t="shared" si="7"/>
        <v>30</v>
      </c>
    </row>
    <row r="114" spans="1:13" x14ac:dyDescent="0.3">
      <c r="A114" s="5">
        <f t="shared" si="8"/>
        <v>2018</v>
      </c>
      <c r="B114" s="7" t="s">
        <v>68</v>
      </c>
      <c r="C114" s="9">
        <v>5</v>
      </c>
      <c r="D114" s="9">
        <v>1</v>
      </c>
      <c r="E114" s="9"/>
      <c r="I114" s="14">
        <f t="shared" si="5"/>
        <v>20</v>
      </c>
      <c r="J114" s="11">
        <v>100</v>
      </c>
      <c r="K114" s="11">
        <v>60</v>
      </c>
      <c r="L114" s="11">
        <f t="shared" si="6"/>
        <v>160</v>
      </c>
      <c r="M114" s="11">
        <f t="shared" si="7"/>
        <v>32</v>
      </c>
    </row>
    <row r="115" spans="1:13" x14ac:dyDescent="0.3">
      <c r="A115" s="5">
        <f t="shared" si="8"/>
        <v>2018</v>
      </c>
      <c r="B115" s="7" t="s">
        <v>69</v>
      </c>
      <c r="C115" s="15">
        <v>3</v>
      </c>
      <c r="D115" s="15"/>
      <c r="E115" s="15">
        <v>1</v>
      </c>
      <c r="I115" s="14">
        <f t="shared" si="5"/>
        <v>53.333333333333336</v>
      </c>
      <c r="J115" s="12">
        <v>160</v>
      </c>
      <c r="K115" s="12">
        <v>60</v>
      </c>
      <c r="L115" s="11">
        <f t="shared" si="6"/>
        <v>220</v>
      </c>
      <c r="M115" s="11">
        <f t="shared" si="7"/>
        <v>73.333333333333329</v>
      </c>
    </row>
    <row r="116" spans="1:13" x14ac:dyDescent="0.3">
      <c r="A116" s="5">
        <f t="shared" si="8"/>
        <v>2019</v>
      </c>
      <c r="B116" s="6">
        <v>43466</v>
      </c>
      <c r="C116" s="15">
        <v>7</v>
      </c>
      <c r="D116" s="15">
        <v>1</v>
      </c>
      <c r="I116" s="14">
        <f t="shared" si="5"/>
        <v>20</v>
      </c>
      <c r="J116" s="13">
        <v>140</v>
      </c>
      <c r="K116" s="13">
        <v>60</v>
      </c>
      <c r="L116" s="11">
        <f t="shared" si="6"/>
        <v>200</v>
      </c>
      <c r="M116" s="11">
        <f t="shared" si="7"/>
        <v>28.571428571428573</v>
      </c>
    </row>
    <row r="117" spans="1:13" x14ac:dyDescent="0.3">
      <c r="A117" s="5">
        <f t="shared" si="8"/>
        <v>2019</v>
      </c>
      <c r="B117" s="6">
        <v>43525</v>
      </c>
      <c r="C117" s="9">
        <v>8</v>
      </c>
      <c r="D117" s="9">
        <v>1</v>
      </c>
      <c r="I117" s="14">
        <f t="shared" si="5"/>
        <v>20</v>
      </c>
      <c r="J117" s="11">
        <v>160</v>
      </c>
      <c r="K117" s="11">
        <v>60</v>
      </c>
      <c r="L117" s="11">
        <f t="shared" si="6"/>
        <v>220</v>
      </c>
      <c r="M117" s="11">
        <f t="shared" si="7"/>
        <v>27.5</v>
      </c>
    </row>
    <row r="118" spans="1:13" x14ac:dyDescent="0.3">
      <c r="A118" s="5">
        <f t="shared" si="8"/>
        <v>2019</v>
      </c>
      <c r="B118" s="6">
        <v>43556</v>
      </c>
      <c r="C118" s="9">
        <v>8</v>
      </c>
      <c r="D118" s="9">
        <v>1</v>
      </c>
      <c r="I118" s="14">
        <f t="shared" si="5"/>
        <v>20</v>
      </c>
      <c r="J118" s="11">
        <v>160</v>
      </c>
      <c r="K118" s="11">
        <v>60</v>
      </c>
      <c r="L118" s="11">
        <f t="shared" si="6"/>
        <v>220</v>
      </c>
      <c r="M118" s="11">
        <f t="shared" si="7"/>
        <v>27.5</v>
      </c>
    </row>
    <row r="119" spans="1:13" x14ac:dyDescent="0.3">
      <c r="A119" s="5">
        <f t="shared" si="8"/>
        <v>2019</v>
      </c>
      <c r="B119" s="6">
        <v>43586</v>
      </c>
      <c r="C119" s="9">
        <v>15</v>
      </c>
      <c r="D119" s="9"/>
      <c r="I119" s="14">
        <f t="shared" si="5"/>
        <v>20</v>
      </c>
      <c r="J119" s="11">
        <v>300</v>
      </c>
      <c r="K119" s="11">
        <v>60</v>
      </c>
      <c r="L119" s="11">
        <f t="shared" si="6"/>
        <v>360</v>
      </c>
      <c r="M119" s="11">
        <f t="shared" si="7"/>
        <v>24</v>
      </c>
    </row>
    <row r="120" spans="1:13" x14ac:dyDescent="0.3">
      <c r="A120" s="5">
        <f t="shared" si="8"/>
        <v>2019</v>
      </c>
      <c r="B120" s="6">
        <v>43617</v>
      </c>
      <c r="C120" s="9">
        <v>9</v>
      </c>
      <c r="D120" s="9">
        <v>1</v>
      </c>
      <c r="I120" s="14">
        <f t="shared" si="5"/>
        <v>20</v>
      </c>
      <c r="J120" s="11">
        <v>180</v>
      </c>
      <c r="K120" s="11">
        <v>60</v>
      </c>
      <c r="L120" s="11">
        <f t="shared" si="6"/>
        <v>240</v>
      </c>
      <c r="M120" s="11">
        <f t="shared" si="7"/>
        <v>26.666666666666668</v>
      </c>
    </row>
    <row r="121" spans="1:13" x14ac:dyDescent="0.3">
      <c r="A121" s="5">
        <f t="shared" si="8"/>
        <v>2019</v>
      </c>
      <c r="B121" s="6">
        <v>43647</v>
      </c>
      <c r="C121" s="9">
        <v>2</v>
      </c>
      <c r="D121" s="9">
        <v>1</v>
      </c>
      <c r="I121" s="14">
        <f t="shared" si="5"/>
        <v>20</v>
      </c>
      <c r="J121" s="11">
        <v>40</v>
      </c>
      <c r="K121" s="11">
        <v>60</v>
      </c>
      <c r="L121" s="11">
        <f t="shared" si="6"/>
        <v>100</v>
      </c>
      <c r="M121" s="11">
        <f t="shared" si="7"/>
        <v>50</v>
      </c>
    </row>
    <row r="122" spans="1:13" x14ac:dyDescent="0.3">
      <c r="A122" s="5">
        <f t="shared" si="8"/>
        <v>2019</v>
      </c>
      <c r="B122" s="6">
        <v>43647</v>
      </c>
      <c r="C122" s="9">
        <v>4</v>
      </c>
      <c r="D122" s="9">
        <v>1</v>
      </c>
      <c r="I122" s="14">
        <f t="shared" si="5"/>
        <v>20</v>
      </c>
      <c r="J122" s="11">
        <v>80</v>
      </c>
      <c r="K122" s="11">
        <v>60</v>
      </c>
      <c r="L122" s="11">
        <f t="shared" si="6"/>
        <v>140</v>
      </c>
      <c r="M122" s="11">
        <f t="shared" si="7"/>
        <v>35</v>
      </c>
    </row>
    <row r="123" spans="1:13" x14ac:dyDescent="0.3">
      <c r="A123" s="5">
        <f t="shared" si="8"/>
        <v>2019</v>
      </c>
      <c r="B123" s="6">
        <v>43739</v>
      </c>
      <c r="C123" s="9">
        <v>1</v>
      </c>
      <c r="D123" s="9">
        <v>1</v>
      </c>
      <c r="I123" s="14">
        <f t="shared" si="5"/>
        <v>20</v>
      </c>
      <c r="J123" s="11">
        <v>20</v>
      </c>
      <c r="K123" s="11">
        <v>60</v>
      </c>
      <c r="L123" s="11">
        <f t="shared" si="6"/>
        <v>80</v>
      </c>
      <c r="M123" s="11">
        <f t="shared" si="7"/>
        <v>80</v>
      </c>
    </row>
    <row r="125" spans="1:13" x14ac:dyDescent="0.3">
      <c r="A125" s="5">
        <f t="shared" si="8"/>
        <v>2019</v>
      </c>
      <c r="B125" t="s">
        <v>312</v>
      </c>
      <c r="C125">
        <f>COUNTIF('Base individuos'!B4:B10485,"="&amp;'Consolidado grupales'!B125)</f>
        <v>3</v>
      </c>
      <c r="D125">
        <f>IF(COUNTIFS('Base individuos'!$B$4:$B$10485,'Consolidado grupales'!$B125,'Base individuos'!D4:D10485,"=" &amp;1)&gt;0,1,0)</f>
        <v>1</v>
      </c>
      <c r="E125" s="17">
        <f>IF(COUNTIFS('Base individuos'!$B$4:$B$10485,'Consolidado grupales'!$B125,'Base individuos'!E4:E10485,"=" &amp;1)&gt;0,1,0)</f>
        <v>0</v>
      </c>
      <c r="F125" s="17">
        <f>IF(COUNTIFS('Base individuos'!$B$4:$B$10485,'Consolidado grupales'!$B125,'Base individuos'!F4:F10485,"=" &amp;1)&gt;0,1,0)</f>
        <v>1</v>
      </c>
      <c r="G125" s="17">
        <f>IF(COUNTIFS('Base individuos'!$B$4:$B$10485,'Consolidado grupales'!$B125,'Base individuos'!G4:G10485,"=" &amp;1)&gt;0,1,0)</f>
        <v>1</v>
      </c>
      <c r="H125" s="17">
        <f>IF(COUNTIFS('Base individuos'!$B$4:$B$10485,'Consolidado grupales'!$B125,'Base individuos'!H4:H10485,"=" &amp;1)&gt;0,1,0)</f>
        <v>0</v>
      </c>
      <c r="I125" s="14">
        <f>J125/C125</f>
        <v>75</v>
      </c>
      <c r="J125" s="19">
        <f t="array" ref="J125">SUMPRODUCT(D125:H125,TRANSPOSE(Inicio!B2:B6))*'Consolidado grupales'!C125</f>
        <v>225</v>
      </c>
      <c r="K125" s="14">
        <f>Inicio!B7</f>
        <v>60</v>
      </c>
      <c r="L125" s="14">
        <f>K125+J125</f>
        <v>285</v>
      </c>
      <c r="M125" s="14">
        <f>L125/C125</f>
        <v>95</v>
      </c>
    </row>
  </sheetData>
  <mergeCells count="12">
    <mergeCell ref="N2:N3"/>
    <mergeCell ref="L2:M2"/>
    <mergeCell ref="A1:R1"/>
    <mergeCell ref="A2:A3"/>
    <mergeCell ref="B2:B3"/>
    <mergeCell ref="C2:C3"/>
    <mergeCell ref="D2:H2"/>
    <mergeCell ref="I2:J2"/>
    <mergeCell ref="K2:K3"/>
    <mergeCell ref="O2:O3"/>
    <mergeCell ref="P2:P3"/>
    <mergeCell ref="Q2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81D55-19A6-418B-AB7E-40D87B92E322}">
  <sheetPr codeName="Hoja2"/>
  <dimension ref="A1:U500"/>
  <sheetViews>
    <sheetView showGridLines="0" zoomScale="70" zoomScaleNormal="70" workbookViewId="0">
      <selection activeCell="D40" sqref="D40"/>
    </sheetView>
  </sheetViews>
  <sheetFormatPr defaultColWidth="11.5546875" defaultRowHeight="14.4" x14ac:dyDescent="0.3"/>
  <cols>
    <col min="3" max="3" width="18.6640625" bestFit="1" customWidth="1"/>
    <col min="4" max="4" width="11.44140625" bestFit="1" customWidth="1"/>
    <col min="5" max="5" width="12.5546875" bestFit="1" customWidth="1"/>
    <col min="6" max="6" width="11.6640625" bestFit="1" customWidth="1"/>
    <col min="9" max="9" width="17.77734375" bestFit="1" customWidth="1"/>
    <col min="10" max="10" width="12.33203125" bestFit="1" customWidth="1"/>
    <col min="11" max="11" width="10.6640625" customWidth="1"/>
    <col min="12" max="12" width="22.44140625" bestFit="1" customWidth="1"/>
    <col min="13" max="13" width="18.6640625" bestFit="1" customWidth="1"/>
    <col min="14" max="14" width="24.6640625" customWidth="1"/>
    <col min="15" max="15" width="23.5546875" customWidth="1"/>
    <col min="16" max="16" width="18.21875" bestFit="1" customWidth="1"/>
    <col min="17" max="17" width="27.5546875" customWidth="1"/>
    <col min="18" max="18" width="16.5546875" bestFit="1" customWidth="1"/>
  </cols>
  <sheetData>
    <row r="1" spans="1:21" ht="112.5" customHeight="1" x14ac:dyDescent="0.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</row>
    <row r="2" spans="1:21" x14ac:dyDescent="0.3">
      <c r="A2" s="26" t="s">
        <v>1</v>
      </c>
      <c r="B2" s="26" t="s">
        <v>0</v>
      </c>
      <c r="C2" s="26" t="s">
        <v>17</v>
      </c>
      <c r="D2" s="26" t="s">
        <v>3</v>
      </c>
      <c r="E2" s="26"/>
      <c r="F2" s="26"/>
      <c r="G2" s="26"/>
      <c r="H2" s="26"/>
      <c r="I2" s="29" t="s">
        <v>308</v>
      </c>
      <c r="J2" s="26" t="s">
        <v>12</v>
      </c>
      <c r="K2" s="26" t="s">
        <v>77</v>
      </c>
      <c r="L2" s="26" t="s">
        <v>13</v>
      </c>
      <c r="M2" s="29" t="s">
        <v>307</v>
      </c>
      <c r="N2" s="29" t="s">
        <v>306</v>
      </c>
      <c r="O2" s="29" t="s">
        <v>310</v>
      </c>
      <c r="P2" s="26" t="s">
        <v>325</v>
      </c>
      <c r="Q2" s="26" t="s">
        <v>309</v>
      </c>
    </row>
    <row r="3" spans="1:21" x14ac:dyDescent="0.3">
      <c r="A3" s="26"/>
      <c r="B3" s="26"/>
      <c r="C3" s="26"/>
      <c r="D3" s="2" t="s">
        <v>4</v>
      </c>
      <c r="E3" s="2" t="s">
        <v>6</v>
      </c>
      <c r="F3" s="2" t="s">
        <v>5</v>
      </c>
      <c r="G3" s="2" t="s">
        <v>7</v>
      </c>
      <c r="H3" s="2" t="s">
        <v>8</v>
      </c>
      <c r="I3" s="26"/>
      <c r="J3" s="26"/>
      <c r="K3" s="26"/>
      <c r="L3" s="26"/>
      <c r="M3" s="26"/>
      <c r="N3" s="26"/>
      <c r="O3" s="29"/>
      <c r="P3" s="26"/>
      <c r="Q3" s="26"/>
    </row>
    <row r="4" spans="1:21" x14ac:dyDescent="0.3">
      <c r="A4" s="30">
        <f>IF(IFERROR(YEAR(B4),2000+RIGHT(B4,2))=1900,"",IFERROR(YEAR(B4),2000+RIGHT(B4,2)))</f>
        <v>2019</v>
      </c>
      <c r="B4" s="30" t="s">
        <v>312</v>
      </c>
      <c r="C4" s="30" t="s">
        <v>315</v>
      </c>
      <c r="D4" s="30">
        <v>1</v>
      </c>
      <c r="E4" s="30"/>
      <c r="F4" s="30"/>
      <c r="G4" s="30"/>
      <c r="H4" s="30"/>
      <c r="I4" s="30">
        <f t="array" ref="I4">IF(A4="","",SUMPRODUCT(TRANSPOSE(D4:H4),Inicio!B2:B6))</f>
        <v>20</v>
      </c>
      <c r="J4" s="30"/>
      <c r="K4" s="30"/>
      <c r="L4" s="30"/>
      <c r="M4" s="30"/>
      <c r="N4" s="30"/>
      <c r="O4" s="30"/>
      <c r="P4" s="32"/>
      <c r="Q4" s="30"/>
    </row>
    <row r="5" spans="1:21" x14ac:dyDescent="0.3">
      <c r="A5" s="30">
        <f t="shared" ref="A5:A68" si="0">IF(IFERROR(YEAR(B5),2000+RIGHT(B5,2))=1900,"",IFERROR(YEAR(B5),2000+RIGHT(B5,2)))</f>
        <v>2019</v>
      </c>
      <c r="B5" s="31" t="s">
        <v>312</v>
      </c>
      <c r="C5" s="30" t="s">
        <v>316</v>
      </c>
      <c r="D5" s="30">
        <v>1</v>
      </c>
      <c r="E5" s="30"/>
      <c r="F5" s="30"/>
      <c r="G5" s="30"/>
      <c r="H5" s="30"/>
      <c r="I5" s="30">
        <f t="array" ref="I5">IF(A5="","",SUMPRODUCT(TRANSPOSE(D5:H5),Inicio!B3:B7))</f>
        <v>30</v>
      </c>
      <c r="J5" s="30"/>
      <c r="K5" s="30"/>
      <c r="L5" s="30"/>
      <c r="M5" s="30"/>
      <c r="N5" s="30"/>
      <c r="O5" s="30"/>
      <c r="P5" s="32"/>
      <c r="Q5" s="30"/>
    </row>
    <row r="6" spans="1:21" x14ac:dyDescent="0.3">
      <c r="A6" s="30">
        <f t="shared" si="0"/>
        <v>2019</v>
      </c>
      <c r="B6" s="31" t="s">
        <v>314</v>
      </c>
      <c r="C6" s="30" t="s">
        <v>317</v>
      </c>
      <c r="D6" s="30">
        <v>1</v>
      </c>
      <c r="E6" s="30"/>
      <c r="F6" s="30"/>
      <c r="G6" s="30"/>
      <c r="H6" s="30"/>
      <c r="I6" s="30">
        <f t="array" ref="I6">IF(A6="","",SUMPRODUCT(TRANSPOSE(D6:H6),Inicio!B4:B8))</f>
        <v>15</v>
      </c>
      <c r="J6" s="30"/>
      <c r="K6" s="30"/>
      <c r="L6" s="30"/>
      <c r="M6" s="30"/>
      <c r="N6" s="30"/>
      <c r="O6" s="30"/>
      <c r="P6" s="32"/>
      <c r="Q6" s="30"/>
    </row>
    <row r="7" spans="1:21" x14ac:dyDescent="0.3">
      <c r="A7" s="30">
        <f t="shared" si="0"/>
        <v>2019</v>
      </c>
      <c r="B7" s="31">
        <v>43600</v>
      </c>
      <c r="C7" s="30" t="s">
        <v>318</v>
      </c>
      <c r="D7" s="30">
        <v>1</v>
      </c>
      <c r="E7" s="30"/>
      <c r="F7" s="30">
        <v>1</v>
      </c>
      <c r="G7" s="30">
        <v>1</v>
      </c>
      <c r="H7" s="30"/>
      <c r="I7" s="30">
        <v>100</v>
      </c>
      <c r="J7" s="30" t="s">
        <v>319</v>
      </c>
      <c r="K7" s="30" t="s">
        <v>80</v>
      </c>
      <c r="L7" s="30" t="s">
        <v>320</v>
      </c>
      <c r="M7" s="30" t="s">
        <v>321</v>
      </c>
      <c r="N7" s="30" t="s">
        <v>320</v>
      </c>
      <c r="O7" s="30" t="s">
        <v>322</v>
      </c>
      <c r="P7" s="32" t="s">
        <v>323</v>
      </c>
      <c r="Q7" s="30" t="s">
        <v>324</v>
      </c>
    </row>
    <row r="8" spans="1:21" x14ac:dyDescent="0.3">
      <c r="A8" s="30">
        <f t="shared" si="0"/>
        <v>2019</v>
      </c>
      <c r="B8" s="31">
        <v>43603</v>
      </c>
      <c r="C8" s="30" t="s">
        <v>326</v>
      </c>
      <c r="D8" s="30">
        <v>1</v>
      </c>
      <c r="E8" s="30"/>
      <c r="F8" s="30">
        <v>1</v>
      </c>
      <c r="G8" s="30">
        <v>1</v>
      </c>
      <c r="H8" s="30"/>
      <c r="I8" s="30">
        <v>0</v>
      </c>
      <c r="J8" s="30" t="s">
        <v>319</v>
      </c>
      <c r="K8" s="30" t="s">
        <v>303</v>
      </c>
      <c r="L8" s="30" t="s">
        <v>320</v>
      </c>
      <c r="M8" s="30" t="s">
        <v>321</v>
      </c>
      <c r="N8" s="30" t="s">
        <v>320</v>
      </c>
      <c r="O8" s="30" t="s">
        <v>327</v>
      </c>
      <c r="P8" s="30" t="s">
        <v>328</v>
      </c>
      <c r="Q8" s="30" t="s">
        <v>329</v>
      </c>
    </row>
    <row r="9" spans="1:21" s="35" customFormat="1" x14ac:dyDescent="0.3">
      <c r="A9" s="33">
        <f t="shared" si="0"/>
        <v>2022</v>
      </c>
      <c r="B9" s="34">
        <v>44751</v>
      </c>
      <c r="C9" s="33" t="s">
        <v>331</v>
      </c>
      <c r="D9" s="33">
        <v>1</v>
      </c>
      <c r="E9" s="33"/>
      <c r="F9" s="33">
        <v>1</v>
      </c>
      <c r="G9" s="33"/>
      <c r="H9" s="33"/>
      <c r="I9" s="33">
        <v>60</v>
      </c>
      <c r="J9" s="33" t="s">
        <v>319</v>
      </c>
      <c r="K9" s="33" t="s">
        <v>303</v>
      </c>
      <c r="L9" s="33" t="s">
        <v>321</v>
      </c>
      <c r="M9" s="33" t="s">
        <v>320</v>
      </c>
      <c r="N9" s="33" t="s">
        <v>321</v>
      </c>
      <c r="O9" s="33" t="s">
        <v>332</v>
      </c>
      <c r="P9" s="34">
        <v>44177</v>
      </c>
      <c r="Q9" s="33" t="s">
        <v>333</v>
      </c>
    </row>
    <row r="10" spans="1:21" x14ac:dyDescent="0.3">
      <c r="A10" s="30" t="str">
        <f t="shared" si="0"/>
        <v/>
      </c>
      <c r="B10" s="30"/>
      <c r="C10" s="30"/>
      <c r="D10" s="30"/>
      <c r="E10" s="30"/>
      <c r="F10" s="30"/>
      <c r="G10" s="30"/>
      <c r="H10" s="30"/>
      <c r="I10" s="30" t="str">
        <f t="array" ref="I10">IF(A10="","",SUMPRODUCT(TRANSPOSE(D10:H10),Inicio!B8:B12))</f>
        <v/>
      </c>
      <c r="J10" s="30"/>
      <c r="K10" s="30"/>
      <c r="L10" s="30"/>
      <c r="M10" s="30"/>
      <c r="N10" s="30"/>
      <c r="O10" s="30"/>
      <c r="P10" s="30"/>
      <c r="Q10" s="30"/>
    </row>
    <row r="11" spans="1:21" x14ac:dyDescent="0.3">
      <c r="A11" s="30" t="str">
        <f t="shared" si="0"/>
        <v/>
      </c>
      <c r="B11" s="30"/>
      <c r="C11" s="30"/>
      <c r="D11" s="30"/>
      <c r="E11" s="30"/>
      <c r="F11" s="30"/>
      <c r="G11" s="30"/>
      <c r="H11" s="30"/>
      <c r="I11" s="30" t="str">
        <f t="array" ref="I11">IF(A11="","",SUMPRODUCT(TRANSPOSE(D11:H11),Inicio!B9:B13))</f>
        <v/>
      </c>
      <c r="J11" s="30"/>
      <c r="K11" s="30"/>
      <c r="L11" s="30"/>
      <c r="M11" s="30"/>
      <c r="N11" s="30"/>
      <c r="O11" s="30"/>
      <c r="P11" s="30"/>
      <c r="Q11" s="30"/>
    </row>
    <row r="12" spans="1:21" x14ac:dyDescent="0.3">
      <c r="A12" s="30" t="str">
        <f t="shared" si="0"/>
        <v/>
      </c>
      <c r="B12" s="30"/>
      <c r="C12" s="30"/>
      <c r="D12" s="30"/>
      <c r="E12" s="30"/>
      <c r="F12" s="30"/>
      <c r="G12" s="30"/>
      <c r="H12" s="30"/>
      <c r="I12" s="30" t="str">
        <f t="array" ref="I12">IF(A12="","",SUMPRODUCT(TRANSPOSE(D12:H12),Inicio!B10:B14))</f>
        <v/>
      </c>
      <c r="J12" s="30"/>
      <c r="K12" s="30"/>
      <c r="L12" s="30"/>
      <c r="M12" s="30"/>
      <c r="N12" s="30"/>
      <c r="O12" s="30"/>
      <c r="P12" s="30"/>
      <c r="Q12" s="30"/>
    </row>
    <row r="13" spans="1:21" x14ac:dyDescent="0.3">
      <c r="A13" s="30" t="str">
        <f t="shared" si="0"/>
        <v/>
      </c>
      <c r="B13" s="30"/>
      <c r="C13" s="30"/>
      <c r="D13" s="30"/>
      <c r="E13" s="30"/>
      <c r="F13" s="30"/>
      <c r="G13" s="30"/>
      <c r="H13" s="30"/>
      <c r="I13" s="30" t="str">
        <f t="array" ref="I13">IF(A13="","",SUMPRODUCT(TRANSPOSE(D13:H13),Inicio!B11:B15))</f>
        <v/>
      </c>
      <c r="J13" s="30"/>
      <c r="K13" s="30"/>
      <c r="L13" s="30"/>
      <c r="M13" s="30"/>
      <c r="N13" s="30"/>
      <c r="O13" s="30"/>
      <c r="P13" s="30"/>
      <c r="Q13" s="30"/>
    </row>
    <row r="14" spans="1:21" x14ac:dyDescent="0.3">
      <c r="A14" s="30" t="str">
        <f t="shared" si="0"/>
        <v/>
      </c>
      <c r="B14" s="30"/>
      <c r="C14" s="30"/>
      <c r="D14" s="30"/>
      <c r="E14" s="30"/>
      <c r="F14" s="30"/>
      <c r="G14" s="30"/>
      <c r="H14" s="30"/>
      <c r="I14" s="30" t="str">
        <f t="array" ref="I14">IF(A14="","",SUMPRODUCT(TRANSPOSE(D14:H14),Inicio!B12:B16))</f>
        <v/>
      </c>
      <c r="J14" s="30"/>
      <c r="K14" s="30"/>
      <c r="L14" s="30"/>
      <c r="M14" s="30"/>
      <c r="N14" s="30"/>
      <c r="O14" s="30"/>
      <c r="P14" s="30"/>
      <c r="Q14" s="30"/>
    </row>
    <row r="15" spans="1:21" x14ac:dyDescent="0.3">
      <c r="A15" s="30" t="str">
        <f t="shared" si="0"/>
        <v/>
      </c>
      <c r="B15" s="30"/>
      <c r="C15" s="30"/>
      <c r="D15" s="30"/>
      <c r="E15" s="30"/>
      <c r="F15" s="30"/>
      <c r="G15" s="30"/>
      <c r="H15" s="30"/>
      <c r="I15" s="30" t="str">
        <f t="array" ref="I15">IF(A15="","",SUMPRODUCT(TRANSPOSE(D15:H15),Inicio!B13:B17))</f>
        <v/>
      </c>
      <c r="J15" s="30"/>
      <c r="K15" s="30"/>
      <c r="L15" s="30"/>
      <c r="M15" s="30"/>
      <c r="N15" s="30"/>
      <c r="O15" s="30"/>
      <c r="P15" s="30"/>
      <c r="Q15" s="30"/>
    </row>
    <row r="16" spans="1:21" x14ac:dyDescent="0.3">
      <c r="A16" s="30" t="str">
        <f t="shared" si="0"/>
        <v/>
      </c>
      <c r="B16" s="30"/>
      <c r="C16" s="30"/>
      <c r="D16" s="30"/>
      <c r="E16" s="30"/>
      <c r="F16" s="30"/>
      <c r="G16" s="30"/>
      <c r="H16" s="30"/>
      <c r="I16" s="30" t="str">
        <f t="array" ref="I16">IF(A16="","",SUMPRODUCT(TRANSPOSE(D16:H16),Inicio!B14:B18))</f>
        <v/>
      </c>
      <c r="J16" s="30"/>
      <c r="K16" s="30"/>
      <c r="L16" s="30"/>
      <c r="M16" s="30"/>
      <c r="N16" s="30"/>
      <c r="O16" s="30"/>
      <c r="P16" s="30"/>
      <c r="Q16" s="30"/>
    </row>
    <row r="17" spans="1:9" x14ac:dyDescent="0.3">
      <c r="A17" s="17" t="str">
        <f t="shared" si="0"/>
        <v/>
      </c>
      <c r="I17" s="17" t="str">
        <f t="array" ref="I17">IF(A17="","",SUMPRODUCT(TRANSPOSE(D17:H17),Inicio!B15:B19))</f>
        <v/>
      </c>
    </row>
    <row r="18" spans="1:9" x14ac:dyDescent="0.3">
      <c r="A18" s="17" t="str">
        <f t="shared" si="0"/>
        <v/>
      </c>
      <c r="I18" s="17" t="str">
        <f t="array" ref="I18">IF(A18="","",SUMPRODUCT(TRANSPOSE(D18:H18),Inicio!B16:B20))</f>
        <v/>
      </c>
    </row>
    <row r="19" spans="1:9" x14ac:dyDescent="0.3">
      <c r="A19" s="17" t="str">
        <f t="shared" si="0"/>
        <v/>
      </c>
      <c r="I19" s="17" t="str">
        <f t="array" ref="I19">IF(A19="","",SUMPRODUCT(TRANSPOSE(D19:H19),Inicio!B17:B21))</f>
        <v/>
      </c>
    </row>
    <row r="20" spans="1:9" x14ac:dyDescent="0.3">
      <c r="A20" s="17" t="str">
        <f t="shared" si="0"/>
        <v/>
      </c>
      <c r="I20" s="17" t="str">
        <f t="array" ref="I20">IF(A20="","",SUMPRODUCT(TRANSPOSE(D20:H20),Inicio!B18:B22))</f>
        <v/>
      </c>
    </row>
    <row r="21" spans="1:9" x14ac:dyDescent="0.3">
      <c r="A21" s="17" t="str">
        <f t="shared" si="0"/>
        <v/>
      </c>
      <c r="I21" s="17" t="str">
        <f t="array" ref="I21">IF(A21="","",SUMPRODUCT(TRANSPOSE(D21:H21),Inicio!B19:B23))</f>
        <v/>
      </c>
    </row>
    <row r="22" spans="1:9" x14ac:dyDescent="0.3">
      <c r="A22" s="17" t="str">
        <f t="shared" si="0"/>
        <v/>
      </c>
      <c r="I22" s="17" t="str">
        <f t="array" ref="I22">IF(A22="","",SUMPRODUCT(TRANSPOSE(D22:H22),Inicio!B20:B24))</f>
        <v/>
      </c>
    </row>
    <row r="23" spans="1:9" x14ac:dyDescent="0.3">
      <c r="A23" s="17" t="str">
        <f t="shared" si="0"/>
        <v/>
      </c>
      <c r="I23" s="17" t="str">
        <f t="array" ref="I23">IF(A23="","",SUMPRODUCT(TRANSPOSE(D23:H23),Inicio!B21:B25))</f>
        <v/>
      </c>
    </row>
    <row r="24" spans="1:9" x14ac:dyDescent="0.3">
      <c r="A24" s="17" t="str">
        <f t="shared" si="0"/>
        <v/>
      </c>
      <c r="I24" s="17" t="str">
        <f t="array" ref="I24">IF(A24="","",SUMPRODUCT(TRANSPOSE(D24:H24),Inicio!B22:B26))</f>
        <v/>
      </c>
    </row>
    <row r="25" spans="1:9" x14ac:dyDescent="0.3">
      <c r="A25" s="17" t="str">
        <f t="shared" si="0"/>
        <v/>
      </c>
      <c r="I25" s="17" t="str">
        <f t="array" ref="I25">IF(A25="","",SUMPRODUCT(TRANSPOSE(D25:H25),Inicio!B23:B27))</f>
        <v/>
      </c>
    </row>
    <row r="26" spans="1:9" x14ac:dyDescent="0.3">
      <c r="A26" s="17" t="str">
        <f t="shared" si="0"/>
        <v/>
      </c>
      <c r="I26" s="17" t="str">
        <f t="array" ref="I26">IF(A26="","",SUMPRODUCT(TRANSPOSE(D26:H26),Inicio!B24:B28))</f>
        <v/>
      </c>
    </row>
    <row r="27" spans="1:9" x14ac:dyDescent="0.3">
      <c r="A27" s="17" t="str">
        <f t="shared" si="0"/>
        <v/>
      </c>
      <c r="I27" s="17" t="str">
        <f t="array" ref="I27">IF(A27="","",SUMPRODUCT(TRANSPOSE(D27:H27),Inicio!B25:B29))</f>
        <v/>
      </c>
    </row>
    <row r="28" spans="1:9" x14ac:dyDescent="0.3">
      <c r="A28" s="17" t="str">
        <f t="shared" si="0"/>
        <v/>
      </c>
      <c r="I28" s="17" t="str">
        <f t="array" ref="I28">IF(A28="","",SUMPRODUCT(TRANSPOSE(D28:H28),Inicio!B26:B30))</f>
        <v/>
      </c>
    </row>
    <row r="29" spans="1:9" x14ac:dyDescent="0.3">
      <c r="A29" s="17" t="str">
        <f t="shared" si="0"/>
        <v/>
      </c>
      <c r="I29" s="17" t="str">
        <f t="array" ref="I29">IF(A29="","",SUMPRODUCT(TRANSPOSE(D29:H29),Inicio!B27:B31))</f>
        <v/>
      </c>
    </row>
    <row r="30" spans="1:9" x14ac:dyDescent="0.3">
      <c r="A30" s="17" t="str">
        <f t="shared" si="0"/>
        <v/>
      </c>
      <c r="I30" s="17" t="str">
        <f t="array" ref="I30">IF(A30="","",SUMPRODUCT(TRANSPOSE(D30:H30),Inicio!B28:B32))</f>
        <v/>
      </c>
    </row>
    <row r="31" spans="1:9" x14ac:dyDescent="0.3">
      <c r="A31" s="17" t="str">
        <f t="shared" si="0"/>
        <v/>
      </c>
      <c r="I31" s="17" t="str">
        <f t="array" ref="I31">IF(A31="","",SUMPRODUCT(TRANSPOSE(D31:H31),Inicio!B29:B33))</f>
        <v/>
      </c>
    </row>
    <row r="32" spans="1:9" x14ac:dyDescent="0.3">
      <c r="A32" s="17" t="str">
        <f t="shared" si="0"/>
        <v/>
      </c>
      <c r="I32" s="17" t="str">
        <f t="array" ref="I32">IF(A32="","",SUMPRODUCT(TRANSPOSE(D32:H32),Inicio!B30:B34))</f>
        <v/>
      </c>
    </row>
    <row r="33" spans="1:9" x14ac:dyDescent="0.3">
      <c r="A33" s="17" t="str">
        <f t="shared" si="0"/>
        <v/>
      </c>
      <c r="I33" s="17" t="str">
        <f t="array" ref="I33">IF(A33="","",SUMPRODUCT(TRANSPOSE(D33:H33),Inicio!B31:B35))</f>
        <v/>
      </c>
    </row>
    <row r="34" spans="1:9" x14ac:dyDescent="0.3">
      <c r="A34" s="17" t="str">
        <f t="shared" si="0"/>
        <v/>
      </c>
      <c r="I34" s="17" t="str">
        <f t="array" ref="I34">IF(A34="","",SUMPRODUCT(TRANSPOSE(D34:H34),Inicio!B32:B36))</f>
        <v/>
      </c>
    </row>
    <row r="35" spans="1:9" x14ac:dyDescent="0.3">
      <c r="A35" s="17" t="str">
        <f t="shared" si="0"/>
        <v/>
      </c>
      <c r="I35" s="17" t="str">
        <f t="array" ref="I35">IF(A35="","",SUMPRODUCT(TRANSPOSE(D35:H35),Inicio!B33:B37))</f>
        <v/>
      </c>
    </row>
    <row r="36" spans="1:9" x14ac:dyDescent="0.3">
      <c r="A36" s="17" t="str">
        <f t="shared" si="0"/>
        <v/>
      </c>
      <c r="I36" s="17" t="str">
        <f t="array" ref="I36">IF(A36="","",SUMPRODUCT(TRANSPOSE(D36:H36),Inicio!B34:B38))</f>
        <v/>
      </c>
    </row>
    <row r="37" spans="1:9" x14ac:dyDescent="0.3">
      <c r="A37" s="17" t="str">
        <f t="shared" si="0"/>
        <v/>
      </c>
      <c r="I37" s="17" t="str">
        <f t="array" ref="I37">IF(A37="","",SUMPRODUCT(TRANSPOSE(D37:H37),Inicio!B35:B39))</f>
        <v/>
      </c>
    </row>
    <row r="38" spans="1:9" x14ac:dyDescent="0.3">
      <c r="A38" s="17" t="str">
        <f t="shared" si="0"/>
        <v/>
      </c>
      <c r="I38" s="17" t="str">
        <f t="array" ref="I38">IF(A38="","",SUMPRODUCT(TRANSPOSE(D38:H38),Inicio!B36:B40))</f>
        <v/>
      </c>
    </row>
    <row r="39" spans="1:9" x14ac:dyDescent="0.3">
      <c r="A39" s="17" t="str">
        <f t="shared" si="0"/>
        <v/>
      </c>
      <c r="I39" s="17" t="str">
        <f t="array" ref="I39">IF(A39="","",SUMPRODUCT(TRANSPOSE(D39:H39),Inicio!B37:B41))</f>
        <v/>
      </c>
    </row>
    <row r="40" spans="1:9" x14ac:dyDescent="0.3">
      <c r="A40" s="17" t="str">
        <f t="shared" si="0"/>
        <v/>
      </c>
      <c r="I40" s="17" t="str">
        <f t="array" ref="I40">IF(A40="","",SUMPRODUCT(TRANSPOSE(D40:H40),Inicio!B38:B42))</f>
        <v/>
      </c>
    </row>
    <row r="41" spans="1:9" x14ac:dyDescent="0.3">
      <c r="A41" s="17" t="str">
        <f t="shared" si="0"/>
        <v/>
      </c>
      <c r="I41" s="17" t="str">
        <f t="array" ref="I41">IF(A41="","",SUMPRODUCT(TRANSPOSE(D41:H41),Inicio!B39:B43))</f>
        <v/>
      </c>
    </row>
    <row r="42" spans="1:9" x14ac:dyDescent="0.3">
      <c r="A42" s="17" t="str">
        <f t="shared" si="0"/>
        <v/>
      </c>
      <c r="I42" s="17" t="str">
        <f t="array" ref="I42">IF(A42="","",SUMPRODUCT(TRANSPOSE(D42:H42),Inicio!B40:B44))</f>
        <v/>
      </c>
    </row>
    <row r="43" spans="1:9" x14ac:dyDescent="0.3">
      <c r="A43" s="17" t="str">
        <f t="shared" si="0"/>
        <v/>
      </c>
      <c r="I43" s="17" t="str">
        <f t="array" ref="I43">IF(A43="","",SUMPRODUCT(TRANSPOSE(D43:H43),Inicio!B41:B45))</f>
        <v/>
      </c>
    </row>
    <row r="44" spans="1:9" x14ac:dyDescent="0.3">
      <c r="A44" s="17" t="str">
        <f t="shared" si="0"/>
        <v/>
      </c>
      <c r="I44" s="17" t="str">
        <f t="array" ref="I44">IF(A44="","",SUMPRODUCT(TRANSPOSE(D44:H44),Inicio!B42:B46))</f>
        <v/>
      </c>
    </row>
    <row r="45" spans="1:9" x14ac:dyDescent="0.3">
      <c r="A45" s="17" t="str">
        <f t="shared" si="0"/>
        <v/>
      </c>
      <c r="I45" s="17" t="str">
        <f t="array" ref="I45">IF(A45="","",SUMPRODUCT(TRANSPOSE(D45:H45),Inicio!B43:B47))</f>
        <v/>
      </c>
    </row>
    <row r="46" spans="1:9" x14ac:dyDescent="0.3">
      <c r="A46" s="17" t="str">
        <f t="shared" si="0"/>
        <v/>
      </c>
      <c r="I46" s="17" t="str">
        <f t="array" ref="I46">IF(A46="","",SUMPRODUCT(TRANSPOSE(D46:H46),Inicio!B44:B48))</f>
        <v/>
      </c>
    </row>
    <row r="47" spans="1:9" x14ac:dyDescent="0.3">
      <c r="A47" s="17" t="str">
        <f t="shared" si="0"/>
        <v/>
      </c>
      <c r="I47" s="17" t="str">
        <f t="array" ref="I47">IF(A47="","",SUMPRODUCT(TRANSPOSE(D47:H47),Inicio!B45:B49))</f>
        <v/>
      </c>
    </row>
    <row r="48" spans="1:9" x14ac:dyDescent="0.3">
      <c r="A48" s="17" t="str">
        <f t="shared" si="0"/>
        <v/>
      </c>
      <c r="I48" s="17" t="str">
        <f t="array" ref="I48">IF(A48="","",SUMPRODUCT(TRANSPOSE(D48:H48),Inicio!B46:B50))</f>
        <v/>
      </c>
    </row>
    <row r="49" spans="1:9" x14ac:dyDescent="0.3">
      <c r="A49" s="17" t="str">
        <f t="shared" si="0"/>
        <v/>
      </c>
      <c r="I49" s="17" t="str">
        <f t="array" ref="I49">IF(A49="","",SUMPRODUCT(TRANSPOSE(D49:H49),Inicio!B47:B51))</f>
        <v/>
      </c>
    </row>
    <row r="50" spans="1:9" x14ac:dyDescent="0.3">
      <c r="A50" s="17" t="str">
        <f t="shared" si="0"/>
        <v/>
      </c>
      <c r="I50" s="17" t="str">
        <f t="array" ref="I50">IF(A50="","",SUMPRODUCT(TRANSPOSE(D50:H50),Inicio!B48:B52))</f>
        <v/>
      </c>
    </row>
    <row r="51" spans="1:9" x14ac:dyDescent="0.3">
      <c r="A51" s="17" t="str">
        <f t="shared" si="0"/>
        <v/>
      </c>
      <c r="I51" s="17" t="str">
        <f t="array" ref="I51">IF(A51="","",SUMPRODUCT(TRANSPOSE(D51:H51),Inicio!B49:B53))</f>
        <v/>
      </c>
    </row>
    <row r="52" spans="1:9" x14ac:dyDescent="0.3">
      <c r="A52" s="17" t="str">
        <f t="shared" si="0"/>
        <v/>
      </c>
      <c r="I52" s="17" t="str">
        <f t="array" ref="I52">IF(A52="","",SUMPRODUCT(TRANSPOSE(D52:H52),Inicio!B50:B54))</f>
        <v/>
      </c>
    </row>
    <row r="53" spans="1:9" x14ac:dyDescent="0.3">
      <c r="A53" s="17" t="str">
        <f t="shared" si="0"/>
        <v/>
      </c>
      <c r="I53" s="17" t="str">
        <f t="array" ref="I53">IF(A53="","",SUMPRODUCT(TRANSPOSE(D53:H53),Inicio!B51:B55))</f>
        <v/>
      </c>
    </row>
    <row r="54" spans="1:9" x14ac:dyDescent="0.3">
      <c r="A54" s="17" t="str">
        <f t="shared" si="0"/>
        <v/>
      </c>
      <c r="I54" s="17" t="str">
        <f t="array" ref="I54">IF(A54="","",SUMPRODUCT(TRANSPOSE(D54:H54),Inicio!B52:B56))</f>
        <v/>
      </c>
    </row>
    <row r="55" spans="1:9" x14ac:dyDescent="0.3">
      <c r="A55" s="17" t="str">
        <f t="shared" si="0"/>
        <v/>
      </c>
      <c r="I55" s="17" t="str">
        <f t="array" ref="I55">IF(A55="","",SUMPRODUCT(TRANSPOSE(D55:H55),Inicio!B53:B57))</f>
        <v/>
      </c>
    </row>
    <row r="56" spans="1:9" x14ac:dyDescent="0.3">
      <c r="A56" s="17" t="str">
        <f t="shared" si="0"/>
        <v/>
      </c>
      <c r="I56" s="17" t="str">
        <f t="array" ref="I56">IF(A56="","",SUMPRODUCT(TRANSPOSE(D56:H56),Inicio!B54:B58))</f>
        <v/>
      </c>
    </row>
    <row r="57" spans="1:9" x14ac:dyDescent="0.3">
      <c r="A57" s="17" t="str">
        <f t="shared" si="0"/>
        <v/>
      </c>
      <c r="I57" s="17" t="str">
        <f t="array" ref="I57">IF(A57="","",SUMPRODUCT(TRANSPOSE(D57:H57),Inicio!B55:B59))</f>
        <v/>
      </c>
    </row>
    <row r="58" spans="1:9" x14ac:dyDescent="0.3">
      <c r="A58" s="17" t="str">
        <f t="shared" si="0"/>
        <v/>
      </c>
      <c r="I58" s="17" t="str">
        <f t="array" ref="I58">IF(A58="","",SUMPRODUCT(TRANSPOSE(D58:H58),Inicio!B56:B60))</f>
        <v/>
      </c>
    </row>
    <row r="59" spans="1:9" x14ac:dyDescent="0.3">
      <c r="A59" s="17" t="str">
        <f t="shared" si="0"/>
        <v/>
      </c>
      <c r="I59" s="17" t="str">
        <f t="array" ref="I59">IF(A59="","",SUMPRODUCT(TRANSPOSE(D59:H59),Inicio!B57:B61))</f>
        <v/>
      </c>
    </row>
    <row r="60" spans="1:9" x14ac:dyDescent="0.3">
      <c r="A60" s="17" t="str">
        <f t="shared" si="0"/>
        <v/>
      </c>
      <c r="I60" s="17" t="str">
        <f t="array" ref="I60">IF(A60="","",SUMPRODUCT(TRANSPOSE(D60:H60),Inicio!B58:B62))</f>
        <v/>
      </c>
    </row>
    <row r="61" spans="1:9" x14ac:dyDescent="0.3">
      <c r="A61" s="17" t="str">
        <f t="shared" si="0"/>
        <v/>
      </c>
      <c r="I61" s="17" t="str">
        <f t="array" ref="I61">IF(A61="","",SUMPRODUCT(TRANSPOSE(D61:H61),Inicio!B59:B63))</f>
        <v/>
      </c>
    </row>
    <row r="62" spans="1:9" x14ac:dyDescent="0.3">
      <c r="A62" s="17" t="str">
        <f t="shared" si="0"/>
        <v/>
      </c>
      <c r="I62" s="17" t="str">
        <f t="array" ref="I62">IF(A62="","",SUMPRODUCT(TRANSPOSE(D62:H62),Inicio!B60:B64))</f>
        <v/>
      </c>
    </row>
    <row r="63" spans="1:9" x14ac:dyDescent="0.3">
      <c r="A63" s="17" t="str">
        <f t="shared" si="0"/>
        <v/>
      </c>
      <c r="I63" s="17" t="str">
        <f t="array" ref="I63">IF(A63="","",SUMPRODUCT(TRANSPOSE(D63:H63),Inicio!B61:B65))</f>
        <v/>
      </c>
    </row>
    <row r="64" spans="1:9" x14ac:dyDescent="0.3">
      <c r="A64" s="17" t="str">
        <f t="shared" si="0"/>
        <v/>
      </c>
      <c r="I64" s="17" t="str">
        <f t="array" ref="I64">IF(A64="","",SUMPRODUCT(TRANSPOSE(D64:H64),Inicio!B62:B66))</f>
        <v/>
      </c>
    </row>
    <row r="65" spans="1:9" x14ac:dyDescent="0.3">
      <c r="A65" s="17" t="str">
        <f t="shared" si="0"/>
        <v/>
      </c>
      <c r="I65" s="17" t="str">
        <f t="array" ref="I65">IF(A65="","",SUMPRODUCT(TRANSPOSE(D65:H65),Inicio!B63:B67))</f>
        <v/>
      </c>
    </row>
    <row r="66" spans="1:9" x14ac:dyDescent="0.3">
      <c r="A66" s="17" t="str">
        <f t="shared" si="0"/>
        <v/>
      </c>
      <c r="I66" s="17" t="str">
        <f t="array" ref="I66">IF(A66="","",SUMPRODUCT(TRANSPOSE(D66:H66),Inicio!B64:B68))</f>
        <v/>
      </c>
    </row>
    <row r="67" spans="1:9" x14ac:dyDescent="0.3">
      <c r="A67" s="17" t="str">
        <f t="shared" si="0"/>
        <v/>
      </c>
      <c r="I67" s="17" t="str">
        <f t="array" ref="I67">IF(A67="","",SUMPRODUCT(TRANSPOSE(D67:H67),Inicio!B65:B69))</f>
        <v/>
      </c>
    </row>
    <row r="68" spans="1:9" x14ac:dyDescent="0.3">
      <c r="A68" s="17" t="str">
        <f t="shared" si="0"/>
        <v/>
      </c>
      <c r="I68" s="17" t="str">
        <f t="array" ref="I68">IF(A68="","",SUMPRODUCT(TRANSPOSE(D68:H68),Inicio!B66:B70))</f>
        <v/>
      </c>
    </row>
    <row r="69" spans="1:9" x14ac:dyDescent="0.3">
      <c r="A69" s="17" t="str">
        <f t="shared" ref="A69:A132" si="1">IF(IFERROR(YEAR(B69),2000+RIGHT(B69,2))=1900,"",IFERROR(YEAR(B69),2000+RIGHT(B69,2)))</f>
        <v/>
      </c>
      <c r="I69" s="17" t="str">
        <f t="array" ref="I69">IF(A69="","",SUMPRODUCT(TRANSPOSE(D69:H69),Inicio!B67:B71))</f>
        <v/>
      </c>
    </row>
    <row r="70" spans="1:9" x14ac:dyDescent="0.3">
      <c r="A70" s="17" t="str">
        <f t="shared" si="1"/>
        <v/>
      </c>
      <c r="I70" s="17" t="str">
        <f t="array" ref="I70">IF(A70="","",SUMPRODUCT(TRANSPOSE(D70:H70),Inicio!B68:B72))</f>
        <v/>
      </c>
    </row>
    <row r="71" spans="1:9" x14ac:dyDescent="0.3">
      <c r="A71" s="17" t="str">
        <f t="shared" si="1"/>
        <v/>
      </c>
      <c r="I71" s="17" t="str">
        <f t="array" ref="I71">IF(A71="","",SUMPRODUCT(TRANSPOSE(D71:H71),Inicio!B69:B73))</f>
        <v/>
      </c>
    </row>
    <row r="72" spans="1:9" x14ac:dyDescent="0.3">
      <c r="A72" s="17" t="str">
        <f t="shared" si="1"/>
        <v/>
      </c>
      <c r="I72" s="17" t="str">
        <f t="array" ref="I72">IF(A72="","",SUMPRODUCT(TRANSPOSE(D72:H72),Inicio!B70:B74))</f>
        <v/>
      </c>
    </row>
    <row r="73" spans="1:9" x14ac:dyDescent="0.3">
      <c r="A73" s="17" t="str">
        <f t="shared" si="1"/>
        <v/>
      </c>
      <c r="I73" s="17" t="str">
        <f t="array" ref="I73">IF(A73="","",SUMPRODUCT(TRANSPOSE(D73:H73),Inicio!B71:B75))</f>
        <v/>
      </c>
    </row>
    <row r="74" spans="1:9" x14ac:dyDescent="0.3">
      <c r="A74" s="17" t="str">
        <f t="shared" si="1"/>
        <v/>
      </c>
      <c r="I74" s="17" t="str">
        <f t="array" ref="I74">IF(A74="","",SUMPRODUCT(TRANSPOSE(D74:H74),Inicio!B72:B76))</f>
        <v/>
      </c>
    </row>
    <row r="75" spans="1:9" x14ac:dyDescent="0.3">
      <c r="A75" s="17" t="str">
        <f t="shared" si="1"/>
        <v/>
      </c>
      <c r="I75" s="17" t="str">
        <f t="array" ref="I75">IF(A75="","",SUMPRODUCT(TRANSPOSE(D75:H75),Inicio!B73:B77))</f>
        <v/>
      </c>
    </row>
    <row r="76" spans="1:9" x14ac:dyDescent="0.3">
      <c r="A76" s="17" t="str">
        <f t="shared" si="1"/>
        <v/>
      </c>
      <c r="I76" s="17" t="str">
        <f t="array" ref="I76">IF(A76="","",SUMPRODUCT(TRANSPOSE(D76:H76),Inicio!B74:B78))</f>
        <v/>
      </c>
    </row>
    <row r="77" spans="1:9" x14ac:dyDescent="0.3">
      <c r="A77" s="17" t="str">
        <f t="shared" si="1"/>
        <v/>
      </c>
      <c r="I77" s="17" t="str">
        <f t="array" ref="I77">IF(A77="","",SUMPRODUCT(TRANSPOSE(D77:H77),Inicio!B75:B79))</f>
        <v/>
      </c>
    </row>
    <row r="78" spans="1:9" x14ac:dyDescent="0.3">
      <c r="A78" s="17" t="str">
        <f t="shared" si="1"/>
        <v/>
      </c>
      <c r="I78" s="17" t="str">
        <f t="array" ref="I78">IF(A78="","",SUMPRODUCT(TRANSPOSE(D78:H78),Inicio!B76:B80))</f>
        <v/>
      </c>
    </row>
    <row r="79" spans="1:9" x14ac:dyDescent="0.3">
      <c r="A79" s="17" t="str">
        <f t="shared" si="1"/>
        <v/>
      </c>
      <c r="I79" s="17" t="str">
        <f t="array" ref="I79">IF(A79="","",SUMPRODUCT(TRANSPOSE(D79:H79),Inicio!B77:B81))</f>
        <v/>
      </c>
    </row>
    <row r="80" spans="1:9" x14ac:dyDescent="0.3">
      <c r="A80" s="17" t="str">
        <f t="shared" si="1"/>
        <v/>
      </c>
      <c r="I80" s="17" t="str">
        <f t="array" ref="I80">IF(A80="","",SUMPRODUCT(TRANSPOSE(D80:H80),Inicio!B78:B82))</f>
        <v/>
      </c>
    </row>
    <row r="81" spans="1:9" x14ac:dyDescent="0.3">
      <c r="A81" s="17" t="str">
        <f t="shared" si="1"/>
        <v/>
      </c>
      <c r="I81" s="17" t="str">
        <f t="array" ref="I81">IF(A81="","",SUMPRODUCT(TRANSPOSE(D81:H81),Inicio!B79:B83))</f>
        <v/>
      </c>
    </row>
    <row r="82" spans="1:9" x14ac:dyDescent="0.3">
      <c r="A82" s="17" t="str">
        <f t="shared" si="1"/>
        <v/>
      </c>
      <c r="I82" s="17" t="str">
        <f t="array" ref="I82">IF(A82="","",SUMPRODUCT(TRANSPOSE(D82:H82),Inicio!B80:B84))</f>
        <v/>
      </c>
    </row>
    <row r="83" spans="1:9" x14ac:dyDescent="0.3">
      <c r="A83" s="17" t="str">
        <f t="shared" si="1"/>
        <v/>
      </c>
      <c r="I83" s="17" t="str">
        <f t="array" ref="I83">IF(A83="","",SUMPRODUCT(TRANSPOSE(D83:H83),Inicio!B81:B85))</f>
        <v/>
      </c>
    </row>
    <row r="84" spans="1:9" x14ac:dyDescent="0.3">
      <c r="A84" s="17" t="str">
        <f t="shared" si="1"/>
        <v/>
      </c>
      <c r="I84" s="17" t="str">
        <f t="array" ref="I84">IF(A84="","",SUMPRODUCT(TRANSPOSE(D84:H84),Inicio!B82:B86))</f>
        <v/>
      </c>
    </row>
    <row r="85" spans="1:9" x14ac:dyDescent="0.3">
      <c r="A85" s="17" t="str">
        <f t="shared" si="1"/>
        <v/>
      </c>
      <c r="I85" s="17" t="str">
        <f t="array" ref="I85">IF(A85="","",SUMPRODUCT(TRANSPOSE(D85:H85),Inicio!B83:B87))</f>
        <v/>
      </c>
    </row>
    <row r="86" spans="1:9" x14ac:dyDescent="0.3">
      <c r="A86" s="17" t="str">
        <f t="shared" si="1"/>
        <v/>
      </c>
      <c r="I86" s="17" t="str">
        <f t="array" ref="I86">IF(A86="","",SUMPRODUCT(TRANSPOSE(D86:H86),Inicio!B84:B88))</f>
        <v/>
      </c>
    </row>
    <row r="87" spans="1:9" x14ac:dyDescent="0.3">
      <c r="A87" s="17" t="str">
        <f t="shared" si="1"/>
        <v/>
      </c>
      <c r="I87" s="17" t="str">
        <f t="array" ref="I87">IF(A87="","",SUMPRODUCT(TRANSPOSE(D87:H87),Inicio!B85:B89))</f>
        <v/>
      </c>
    </row>
    <row r="88" spans="1:9" x14ac:dyDescent="0.3">
      <c r="A88" s="17" t="str">
        <f t="shared" si="1"/>
        <v/>
      </c>
      <c r="I88" s="17" t="str">
        <f t="array" ref="I88">IF(A88="","",SUMPRODUCT(TRANSPOSE(D88:H88),Inicio!B86:B90))</f>
        <v/>
      </c>
    </row>
    <row r="89" spans="1:9" x14ac:dyDescent="0.3">
      <c r="A89" s="17" t="str">
        <f t="shared" si="1"/>
        <v/>
      </c>
      <c r="I89" s="17" t="str">
        <f t="array" ref="I89">IF(A89="","",SUMPRODUCT(TRANSPOSE(D89:H89),Inicio!B87:B91))</f>
        <v/>
      </c>
    </row>
    <row r="90" spans="1:9" x14ac:dyDescent="0.3">
      <c r="A90" s="17" t="str">
        <f t="shared" si="1"/>
        <v/>
      </c>
      <c r="I90" s="17" t="str">
        <f t="array" ref="I90">IF(A90="","",SUMPRODUCT(TRANSPOSE(D90:H90),Inicio!B88:B92))</f>
        <v/>
      </c>
    </row>
    <row r="91" spans="1:9" x14ac:dyDescent="0.3">
      <c r="A91" s="17" t="str">
        <f t="shared" si="1"/>
        <v/>
      </c>
      <c r="I91" s="17" t="str">
        <f t="array" ref="I91">IF(A91="","",SUMPRODUCT(TRANSPOSE(D91:H91),Inicio!B89:B93))</f>
        <v/>
      </c>
    </row>
    <row r="92" spans="1:9" x14ac:dyDescent="0.3">
      <c r="A92" s="17" t="str">
        <f t="shared" si="1"/>
        <v/>
      </c>
      <c r="I92" s="17" t="str">
        <f t="array" ref="I92">IF(A92="","",SUMPRODUCT(TRANSPOSE(D92:H92),Inicio!B90:B94))</f>
        <v/>
      </c>
    </row>
    <row r="93" spans="1:9" x14ac:dyDescent="0.3">
      <c r="A93" s="17" t="str">
        <f t="shared" si="1"/>
        <v/>
      </c>
      <c r="I93" s="17" t="str">
        <f t="array" ref="I93">IF(A93="","",SUMPRODUCT(TRANSPOSE(D93:H93),Inicio!B91:B95))</f>
        <v/>
      </c>
    </row>
    <row r="94" spans="1:9" x14ac:dyDescent="0.3">
      <c r="A94" s="17" t="str">
        <f t="shared" si="1"/>
        <v/>
      </c>
      <c r="I94" s="17" t="str">
        <f t="array" ref="I94">IF(A94="","",SUMPRODUCT(TRANSPOSE(D94:H94),Inicio!B92:B96))</f>
        <v/>
      </c>
    </row>
    <row r="95" spans="1:9" x14ac:dyDescent="0.3">
      <c r="A95" s="17" t="str">
        <f t="shared" si="1"/>
        <v/>
      </c>
      <c r="I95" s="17" t="str">
        <f t="array" ref="I95">IF(A95="","",SUMPRODUCT(TRANSPOSE(D95:H95),Inicio!B93:B97))</f>
        <v/>
      </c>
    </row>
    <row r="96" spans="1:9" x14ac:dyDescent="0.3">
      <c r="A96" s="17" t="str">
        <f t="shared" si="1"/>
        <v/>
      </c>
      <c r="I96" s="17" t="str">
        <f t="array" ref="I96">IF(A96="","",SUMPRODUCT(TRANSPOSE(D96:H96),Inicio!B94:B98))</f>
        <v/>
      </c>
    </row>
    <row r="97" spans="1:9" x14ac:dyDescent="0.3">
      <c r="A97" s="17" t="str">
        <f t="shared" si="1"/>
        <v/>
      </c>
      <c r="I97" s="17" t="str">
        <f t="array" ref="I97">IF(A97="","",SUMPRODUCT(TRANSPOSE(D97:H97),Inicio!B95:B99))</f>
        <v/>
      </c>
    </row>
    <row r="98" spans="1:9" x14ac:dyDescent="0.3">
      <c r="A98" s="17" t="str">
        <f t="shared" si="1"/>
        <v/>
      </c>
      <c r="I98" s="17" t="str">
        <f t="array" ref="I98">IF(A98="","",SUMPRODUCT(TRANSPOSE(D98:H98),Inicio!B96:B100))</f>
        <v/>
      </c>
    </row>
    <row r="99" spans="1:9" x14ac:dyDescent="0.3">
      <c r="A99" s="17" t="str">
        <f t="shared" si="1"/>
        <v/>
      </c>
      <c r="I99" s="17" t="str">
        <f t="array" ref="I99">IF(A99="","",SUMPRODUCT(TRANSPOSE(D99:H99),Inicio!B97:B101))</f>
        <v/>
      </c>
    </row>
    <row r="100" spans="1:9" x14ac:dyDescent="0.3">
      <c r="A100" s="17" t="str">
        <f t="shared" si="1"/>
        <v/>
      </c>
      <c r="I100" s="17" t="str">
        <f t="array" ref="I100">IF(A100="","",SUMPRODUCT(TRANSPOSE(D100:H100),Inicio!B98:B102))</f>
        <v/>
      </c>
    </row>
    <row r="101" spans="1:9" x14ac:dyDescent="0.3">
      <c r="A101" s="17" t="str">
        <f t="shared" si="1"/>
        <v/>
      </c>
      <c r="I101" s="17" t="str">
        <f t="array" ref="I101">IF(A101="","",SUMPRODUCT(TRANSPOSE(D101:H101),Inicio!B99:B103))</f>
        <v/>
      </c>
    </row>
    <row r="102" spans="1:9" x14ac:dyDescent="0.3">
      <c r="A102" s="17" t="str">
        <f t="shared" si="1"/>
        <v/>
      </c>
      <c r="I102" s="17" t="str">
        <f t="array" ref="I102">IF(A102="","",SUMPRODUCT(TRANSPOSE(D102:H102),Inicio!B100:B104))</f>
        <v/>
      </c>
    </row>
    <row r="103" spans="1:9" x14ac:dyDescent="0.3">
      <c r="A103" s="17" t="str">
        <f t="shared" si="1"/>
        <v/>
      </c>
      <c r="I103" s="17" t="str">
        <f t="array" ref="I103">IF(A103="","",SUMPRODUCT(TRANSPOSE(D103:H103),Inicio!B101:B105))</f>
        <v/>
      </c>
    </row>
    <row r="104" spans="1:9" x14ac:dyDescent="0.3">
      <c r="A104" s="17" t="str">
        <f t="shared" si="1"/>
        <v/>
      </c>
      <c r="I104" s="17" t="str">
        <f t="array" ref="I104">IF(A104="","",SUMPRODUCT(TRANSPOSE(D104:H104),Inicio!B102:B106))</f>
        <v/>
      </c>
    </row>
    <row r="105" spans="1:9" x14ac:dyDescent="0.3">
      <c r="A105" s="17" t="str">
        <f t="shared" si="1"/>
        <v/>
      </c>
      <c r="I105" s="17" t="str">
        <f t="array" ref="I105">IF(A105="","",SUMPRODUCT(TRANSPOSE(D105:H105),Inicio!B103:B107))</f>
        <v/>
      </c>
    </row>
    <row r="106" spans="1:9" x14ac:dyDescent="0.3">
      <c r="A106" s="17" t="str">
        <f t="shared" si="1"/>
        <v/>
      </c>
      <c r="I106" s="17" t="str">
        <f t="array" ref="I106">IF(A106="","",SUMPRODUCT(TRANSPOSE(D106:H106),Inicio!B104:B108))</f>
        <v/>
      </c>
    </row>
    <row r="107" spans="1:9" x14ac:dyDescent="0.3">
      <c r="A107" s="17" t="str">
        <f t="shared" si="1"/>
        <v/>
      </c>
      <c r="I107" s="17" t="str">
        <f t="array" ref="I107">IF(A107="","",SUMPRODUCT(TRANSPOSE(D107:H107),Inicio!B105:B109))</f>
        <v/>
      </c>
    </row>
    <row r="108" spans="1:9" x14ac:dyDescent="0.3">
      <c r="A108" s="17" t="str">
        <f t="shared" si="1"/>
        <v/>
      </c>
      <c r="I108" s="17" t="str">
        <f t="array" ref="I108">IF(A108="","",SUMPRODUCT(TRANSPOSE(D108:H108),Inicio!B106:B110))</f>
        <v/>
      </c>
    </row>
    <row r="109" spans="1:9" x14ac:dyDescent="0.3">
      <c r="A109" s="17" t="str">
        <f t="shared" si="1"/>
        <v/>
      </c>
      <c r="I109" s="17" t="str">
        <f t="array" ref="I109">IF(A109="","",SUMPRODUCT(TRANSPOSE(D109:H109),Inicio!B107:B111))</f>
        <v/>
      </c>
    </row>
    <row r="110" spans="1:9" x14ac:dyDescent="0.3">
      <c r="A110" s="17" t="str">
        <f t="shared" si="1"/>
        <v/>
      </c>
      <c r="I110" s="17" t="str">
        <f t="array" ref="I110">IF(A110="","",SUMPRODUCT(TRANSPOSE(D110:H110),Inicio!B108:B112))</f>
        <v/>
      </c>
    </row>
    <row r="111" spans="1:9" x14ac:dyDescent="0.3">
      <c r="A111" s="17" t="str">
        <f t="shared" si="1"/>
        <v/>
      </c>
      <c r="I111" s="17" t="str">
        <f t="array" ref="I111">IF(A111="","",SUMPRODUCT(TRANSPOSE(D111:H111),Inicio!B109:B113))</f>
        <v/>
      </c>
    </row>
    <row r="112" spans="1:9" x14ac:dyDescent="0.3">
      <c r="A112" s="17" t="str">
        <f t="shared" si="1"/>
        <v/>
      </c>
      <c r="I112" s="17" t="str">
        <f t="array" ref="I112">IF(A112="","",SUMPRODUCT(TRANSPOSE(D112:H112),Inicio!B110:B114))</f>
        <v/>
      </c>
    </row>
    <row r="113" spans="1:9" x14ac:dyDescent="0.3">
      <c r="A113" s="17" t="str">
        <f t="shared" si="1"/>
        <v/>
      </c>
      <c r="I113" s="17" t="str">
        <f t="array" ref="I113">IF(A113="","",SUMPRODUCT(TRANSPOSE(D113:H113),Inicio!B111:B115))</f>
        <v/>
      </c>
    </row>
    <row r="114" spans="1:9" x14ac:dyDescent="0.3">
      <c r="A114" s="17" t="str">
        <f t="shared" si="1"/>
        <v/>
      </c>
      <c r="I114" s="17" t="str">
        <f t="array" ref="I114">IF(A114="","",SUMPRODUCT(TRANSPOSE(D114:H114),Inicio!B112:B116))</f>
        <v/>
      </c>
    </row>
    <row r="115" spans="1:9" x14ac:dyDescent="0.3">
      <c r="A115" s="17" t="str">
        <f t="shared" si="1"/>
        <v/>
      </c>
      <c r="I115" s="17" t="str">
        <f t="array" ref="I115">IF(A115="","",SUMPRODUCT(TRANSPOSE(D115:H115),Inicio!B113:B117))</f>
        <v/>
      </c>
    </row>
    <row r="116" spans="1:9" x14ac:dyDescent="0.3">
      <c r="A116" s="17" t="str">
        <f t="shared" si="1"/>
        <v/>
      </c>
      <c r="I116" s="17" t="str">
        <f t="array" ref="I116">IF(A116="","",SUMPRODUCT(TRANSPOSE(D116:H116),Inicio!B114:B118))</f>
        <v/>
      </c>
    </row>
    <row r="117" spans="1:9" x14ac:dyDescent="0.3">
      <c r="A117" s="17" t="str">
        <f t="shared" si="1"/>
        <v/>
      </c>
      <c r="I117" s="17" t="str">
        <f t="array" ref="I117">IF(A117="","",SUMPRODUCT(TRANSPOSE(D117:H117),Inicio!B115:B119))</f>
        <v/>
      </c>
    </row>
    <row r="118" spans="1:9" x14ac:dyDescent="0.3">
      <c r="A118" s="17" t="str">
        <f t="shared" si="1"/>
        <v/>
      </c>
      <c r="I118" s="17" t="str">
        <f t="array" ref="I118">IF(A118="","",SUMPRODUCT(TRANSPOSE(D118:H118),Inicio!B116:B120))</f>
        <v/>
      </c>
    </row>
    <row r="119" spans="1:9" x14ac:dyDescent="0.3">
      <c r="A119" s="17" t="str">
        <f t="shared" si="1"/>
        <v/>
      </c>
      <c r="I119" s="17" t="str">
        <f t="array" ref="I119">IF(A119="","",SUMPRODUCT(TRANSPOSE(D119:H119),Inicio!B117:B121))</f>
        <v/>
      </c>
    </row>
    <row r="120" spans="1:9" x14ac:dyDescent="0.3">
      <c r="A120" s="17" t="str">
        <f t="shared" si="1"/>
        <v/>
      </c>
      <c r="I120" s="17" t="str">
        <f t="array" ref="I120">IF(A120="","",SUMPRODUCT(TRANSPOSE(D120:H120),Inicio!B118:B122))</f>
        <v/>
      </c>
    </row>
    <row r="121" spans="1:9" x14ac:dyDescent="0.3">
      <c r="A121" s="17" t="str">
        <f t="shared" si="1"/>
        <v/>
      </c>
      <c r="I121" s="17" t="str">
        <f t="array" ref="I121">IF(A121="","",SUMPRODUCT(TRANSPOSE(D121:H121),Inicio!B119:B123))</f>
        <v/>
      </c>
    </row>
    <row r="122" spans="1:9" x14ac:dyDescent="0.3">
      <c r="A122" s="17" t="str">
        <f t="shared" si="1"/>
        <v/>
      </c>
      <c r="I122" s="17" t="str">
        <f t="array" ref="I122">IF(A122="","",SUMPRODUCT(TRANSPOSE(D122:H122),Inicio!B120:B124))</f>
        <v/>
      </c>
    </row>
    <row r="123" spans="1:9" x14ac:dyDescent="0.3">
      <c r="A123" s="17" t="str">
        <f t="shared" si="1"/>
        <v/>
      </c>
      <c r="I123" s="17" t="str">
        <f t="array" ref="I123">IF(A123="","",SUMPRODUCT(TRANSPOSE(D123:H123),Inicio!B121:B125))</f>
        <v/>
      </c>
    </row>
    <row r="124" spans="1:9" x14ac:dyDescent="0.3">
      <c r="A124" s="17" t="str">
        <f t="shared" si="1"/>
        <v/>
      </c>
      <c r="I124" s="17" t="str">
        <f t="array" ref="I124">IF(A124="","",SUMPRODUCT(TRANSPOSE(D124:H124),Inicio!B122:B126))</f>
        <v/>
      </c>
    </row>
    <row r="125" spans="1:9" x14ac:dyDescent="0.3">
      <c r="A125" s="17" t="str">
        <f t="shared" si="1"/>
        <v/>
      </c>
      <c r="I125" s="17" t="str">
        <f t="array" ref="I125">IF(A125="","",SUMPRODUCT(TRANSPOSE(D125:H125),Inicio!B123:B127))</f>
        <v/>
      </c>
    </row>
    <row r="126" spans="1:9" x14ac:dyDescent="0.3">
      <c r="A126" s="17" t="str">
        <f t="shared" si="1"/>
        <v/>
      </c>
      <c r="I126" s="17" t="str">
        <f t="array" ref="I126">IF(A126="","",SUMPRODUCT(TRANSPOSE(D126:H126),Inicio!B124:B128))</f>
        <v/>
      </c>
    </row>
    <row r="127" spans="1:9" x14ac:dyDescent="0.3">
      <c r="A127" s="17" t="str">
        <f t="shared" si="1"/>
        <v/>
      </c>
      <c r="I127" s="17" t="str">
        <f t="array" ref="I127">IF(A127="","",SUMPRODUCT(TRANSPOSE(D127:H127),Inicio!B125:B129))</f>
        <v/>
      </c>
    </row>
    <row r="128" spans="1:9" x14ac:dyDescent="0.3">
      <c r="A128" s="17" t="str">
        <f t="shared" si="1"/>
        <v/>
      </c>
      <c r="I128" s="17" t="str">
        <f t="array" ref="I128">IF(A128="","",SUMPRODUCT(TRANSPOSE(D128:H128),Inicio!B126:B130))</f>
        <v/>
      </c>
    </row>
    <row r="129" spans="1:9" x14ac:dyDescent="0.3">
      <c r="A129" s="17" t="str">
        <f t="shared" si="1"/>
        <v/>
      </c>
      <c r="I129" s="17" t="str">
        <f t="array" ref="I129">IF(A129="","",SUMPRODUCT(TRANSPOSE(D129:H129),Inicio!B127:B131))</f>
        <v/>
      </c>
    </row>
    <row r="130" spans="1:9" x14ac:dyDescent="0.3">
      <c r="A130" s="17" t="str">
        <f t="shared" si="1"/>
        <v/>
      </c>
      <c r="I130" s="17" t="str">
        <f t="array" ref="I130">IF(A130="","",SUMPRODUCT(TRANSPOSE(D130:H130),Inicio!B128:B132))</f>
        <v/>
      </c>
    </row>
    <row r="131" spans="1:9" x14ac:dyDescent="0.3">
      <c r="A131" s="17" t="str">
        <f t="shared" si="1"/>
        <v/>
      </c>
      <c r="I131" s="17" t="str">
        <f t="array" ref="I131">IF(A131="","",SUMPRODUCT(TRANSPOSE(D131:H131),Inicio!B129:B133))</f>
        <v/>
      </c>
    </row>
    <row r="132" spans="1:9" x14ac:dyDescent="0.3">
      <c r="A132" s="17" t="str">
        <f t="shared" si="1"/>
        <v/>
      </c>
      <c r="I132" s="17" t="str">
        <f t="array" ref="I132">IF(A132="","",SUMPRODUCT(TRANSPOSE(D132:H132),Inicio!B130:B134))</f>
        <v/>
      </c>
    </row>
    <row r="133" spans="1:9" x14ac:dyDescent="0.3">
      <c r="A133" s="17" t="str">
        <f t="shared" ref="A133:A196" si="2">IF(IFERROR(YEAR(B133),2000+RIGHT(B133,2))=1900,"",IFERROR(YEAR(B133),2000+RIGHT(B133,2)))</f>
        <v/>
      </c>
      <c r="I133" s="17" t="str">
        <f t="array" ref="I133">IF(A133="","",SUMPRODUCT(TRANSPOSE(D133:H133),Inicio!B131:B135))</f>
        <v/>
      </c>
    </row>
    <row r="134" spans="1:9" x14ac:dyDescent="0.3">
      <c r="A134" s="17" t="str">
        <f t="shared" si="2"/>
        <v/>
      </c>
      <c r="I134" s="17" t="str">
        <f t="array" ref="I134">IF(A134="","",SUMPRODUCT(TRANSPOSE(D134:H134),Inicio!B132:B136))</f>
        <v/>
      </c>
    </row>
    <row r="135" spans="1:9" x14ac:dyDescent="0.3">
      <c r="A135" s="17" t="str">
        <f t="shared" si="2"/>
        <v/>
      </c>
      <c r="I135" s="17" t="str">
        <f t="array" ref="I135">IF(A135="","",SUMPRODUCT(TRANSPOSE(D135:H135),Inicio!B133:B137))</f>
        <v/>
      </c>
    </row>
    <row r="136" spans="1:9" x14ac:dyDescent="0.3">
      <c r="A136" s="17" t="str">
        <f t="shared" si="2"/>
        <v/>
      </c>
      <c r="I136" s="17" t="str">
        <f t="array" ref="I136">IF(A136="","",SUMPRODUCT(TRANSPOSE(D136:H136),Inicio!B134:B138))</f>
        <v/>
      </c>
    </row>
    <row r="137" spans="1:9" x14ac:dyDescent="0.3">
      <c r="A137" s="17" t="str">
        <f t="shared" si="2"/>
        <v/>
      </c>
      <c r="I137" s="17" t="str">
        <f t="array" ref="I137">IF(A137="","",SUMPRODUCT(TRANSPOSE(D137:H137),Inicio!B135:B139))</f>
        <v/>
      </c>
    </row>
    <row r="138" spans="1:9" x14ac:dyDescent="0.3">
      <c r="A138" s="17" t="str">
        <f t="shared" si="2"/>
        <v/>
      </c>
      <c r="I138" s="17" t="str">
        <f t="array" ref="I138">IF(A138="","",SUMPRODUCT(TRANSPOSE(D138:H138),Inicio!B136:B140))</f>
        <v/>
      </c>
    </row>
    <row r="139" spans="1:9" x14ac:dyDescent="0.3">
      <c r="A139" s="17" t="str">
        <f t="shared" si="2"/>
        <v/>
      </c>
      <c r="I139" s="17" t="str">
        <f t="array" ref="I139">IF(A139="","",SUMPRODUCT(TRANSPOSE(D139:H139),Inicio!B137:B141))</f>
        <v/>
      </c>
    </row>
    <row r="140" spans="1:9" x14ac:dyDescent="0.3">
      <c r="A140" s="17" t="str">
        <f t="shared" si="2"/>
        <v/>
      </c>
      <c r="I140" s="17" t="str">
        <f t="array" ref="I140">IF(A140="","",SUMPRODUCT(TRANSPOSE(D140:H140),Inicio!B138:B142))</f>
        <v/>
      </c>
    </row>
    <row r="141" spans="1:9" x14ac:dyDescent="0.3">
      <c r="A141" s="17" t="str">
        <f t="shared" si="2"/>
        <v/>
      </c>
      <c r="I141" s="17" t="str">
        <f t="array" ref="I141">IF(A141="","",SUMPRODUCT(TRANSPOSE(D141:H141),Inicio!B139:B143))</f>
        <v/>
      </c>
    </row>
    <row r="142" spans="1:9" x14ac:dyDescent="0.3">
      <c r="A142" s="17" t="str">
        <f t="shared" si="2"/>
        <v/>
      </c>
      <c r="I142" s="17" t="str">
        <f t="array" ref="I142">IF(A142="","",SUMPRODUCT(TRANSPOSE(D142:H142),Inicio!B140:B144))</f>
        <v/>
      </c>
    </row>
    <row r="143" spans="1:9" x14ac:dyDescent="0.3">
      <c r="A143" s="17" t="str">
        <f t="shared" si="2"/>
        <v/>
      </c>
      <c r="I143" s="17" t="str">
        <f t="array" ref="I143">IF(A143="","",SUMPRODUCT(TRANSPOSE(D143:H143),Inicio!B141:B145))</f>
        <v/>
      </c>
    </row>
    <row r="144" spans="1:9" x14ac:dyDescent="0.3">
      <c r="A144" s="17" t="str">
        <f t="shared" si="2"/>
        <v/>
      </c>
      <c r="I144" s="17" t="str">
        <f t="array" ref="I144">IF(A144="","",SUMPRODUCT(TRANSPOSE(D144:H144),Inicio!B142:B146))</f>
        <v/>
      </c>
    </row>
    <row r="145" spans="1:9" x14ac:dyDescent="0.3">
      <c r="A145" s="17" t="str">
        <f t="shared" si="2"/>
        <v/>
      </c>
      <c r="I145" s="17" t="str">
        <f t="array" ref="I145">IF(A145="","",SUMPRODUCT(TRANSPOSE(D145:H145),Inicio!B143:B147))</f>
        <v/>
      </c>
    </row>
    <row r="146" spans="1:9" x14ac:dyDescent="0.3">
      <c r="A146" s="17" t="str">
        <f t="shared" si="2"/>
        <v/>
      </c>
      <c r="I146" s="17" t="str">
        <f t="array" ref="I146">IF(A146="","",SUMPRODUCT(TRANSPOSE(D146:H146),Inicio!B144:B148))</f>
        <v/>
      </c>
    </row>
    <row r="147" spans="1:9" x14ac:dyDescent="0.3">
      <c r="A147" s="17" t="str">
        <f t="shared" si="2"/>
        <v/>
      </c>
      <c r="I147" s="17" t="str">
        <f t="array" ref="I147">IF(A147="","",SUMPRODUCT(TRANSPOSE(D147:H147),Inicio!B145:B149))</f>
        <v/>
      </c>
    </row>
    <row r="148" spans="1:9" x14ac:dyDescent="0.3">
      <c r="A148" s="17" t="str">
        <f t="shared" si="2"/>
        <v/>
      </c>
      <c r="I148" s="17" t="str">
        <f t="array" ref="I148">IF(A148="","",SUMPRODUCT(TRANSPOSE(D148:H148),Inicio!B146:B150))</f>
        <v/>
      </c>
    </row>
    <row r="149" spans="1:9" x14ac:dyDescent="0.3">
      <c r="A149" s="17" t="str">
        <f t="shared" si="2"/>
        <v/>
      </c>
      <c r="I149" s="17" t="str">
        <f t="array" ref="I149">IF(A149="","",SUMPRODUCT(TRANSPOSE(D149:H149),Inicio!B147:B151))</f>
        <v/>
      </c>
    </row>
    <row r="150" spans="1:9" x14ac:dyDescent="0.3">
      <c r="A150" s="17" t="str">
        <f t="shared" si="2"/>
        <v/>
      </c>
      <c r="I150" s="17" t="str">
        <f t="array" ref="I150">IF(A150="","",SUMPRODUCT(TRANSPOSE(D150:H150),Inicio!B148:B152))</f>
        <v/>
      </c>
    </row>
    <row r="151" spans="1:9" x14ac:dyDescent="0.3">
      <c r="A151" s="17" t="str">
        <f t="shared" si="2"/>
        <v/>
      </c>
      <c r="I151" s="17" t="str">
        <f t="array" ref="I151">IF(A151="","",SUMPRODUCT(TRANSPOSE(D151:H151),Inicio!B149:B153))</f>
        <v/>
      </c>
    </row>
    <row r="152" spans="1:9" x14ac:dyDescent="0.3">
      <c r="A152" s="17" t="str">
        <f t="shared" si="2"/>
        <v/>
      </c>
      <c r="I152" s="17" t="str">
        <f t="array" ref="I152">IF(A152="","",SUMPRODUCT(TRANSPOSE(D152:H152),Inicio!B150:B154))</f>
        <v/>
      </c>
    </row>
    <row r="153" spans="1:9" x14ac:dyDescent="0.3">
      <c r="A153" s="17" t="str">
        <f t="shared" si="2"/>
        <v/>
      </c>
      <c r="I153" s="17" t="str">
        <f t="array" ref="I153">IF(A153="","",SUMPRODUCT(TRANSPOSE(D153:H153),Inicio!B151:B155))</f>
        <v/>
      </c>
    </row>
    <row r="154" spans="1:9" x14ac:dyDescent="0.3">
      <c r="A154" s="17" t="str">
        <f t="shared" si="2"/>
        <v/>
      </c>
      <c r="I154" s="17" t="str">
        <f t="array" ref="I154">IF(A154="","",SUMPRODUCT(TRANSPOSE(D154:H154),Inicio!B152:B156))</f>
        <v/>
      </c>
    </row>
    <row r="155" spans="1:9" x14ac:dyDescent="0.3">
      <c r="A155" s="17" t="str">
        <f t="shared" si="2"/>
        <v/>
      </c>
      <c r="I155" s="17" t="str">
        <f t="array" ref="I155">IF(A155="","",SUMPRODUCT(TRANSPOSE(D155:H155),Inicio!B153:B157))</f>
        <v/>
      </c>
    </row>
    <row r="156" spans="1:9" x14ac:dyDescent="0.3">
      <c r="A156" s="17" t="str">
        <f t="shared" si="2"/>
        <v/>
      </c>
      <c r="I156" s="17" t="str">
        <f t="array" ref="I156">IF(A156="","",SUMPRODUCT(TRANSPOSE(D156:H156),Inicio!B154:B158))</f>
        <v/>
      </c>
    </row>
    <row r="157" spans="1:9" x14ac:dyDescent="0.3">
      <c r="A157" s="17" t="str">
        <f t="shared" si="2"/>
        <v/>
      </c>
      <c r="I157" s="17" t="str">
        <f t="array" ref="I157">IF(A157="","",SUMPRODUCT(TRANSPOSE(D157:H157),Inicio!B155:B159))</f>
        <v/>
      </c>
    </row>
    <row r="158" spans="1:9" x14ac:dyDescent="0.3">
      <c r="A158" s="17" t="str">
        <f t="shared" si="2"/>
        <v/>
      </c>
      <c r="I158" s="17" t="str">
        <f t="array" ref="I158">IF(A158="","",SUMPRODUCT(TRANSPOSE(D158:H158),Inicio!B156:B160))</f>
        <v/>
      </c>
    </row>
    <row r="159" spans="1:9" x14ac:dyDescent="0.3">
      <c r="A159" s="17" t="str">
        <f t="shared" si="2"/>
        <v/>
      </c>
      <c r="I159" s="17" t="str">
        <f t="array" ref="I159">IF(A159="","",SUMPRODUCT(TRANSPOSE(D159:H159),Inicio!B157:B161))</f>
        <v/>
      </c>
    </row>
    <row r="160" spans="1:9" x14ac:dyDescent="0.3">
      <c r="A160" s="17" t="str">
        <f t="shared" si="2"/>
        <v/>
      </c>
      <c r="I160" s="17" t="str">
        <f t="array" ref="I160">IF(A160="","",SUMPRODUCT(TRANSPOSE(D160:H160),Inicio!B158:B162))</f>
        <v/>
      </c>
    </row>
    <row r="161" spans="1:9" x14ac:dyDescent="0.3">
      <c r="A161" s="17" t="str">
        <f t="shared" si="2"/>
        <v/>
      </c>
      <c r="I161" s="17" t="str">
        <f t="array" ref="I161">IF(A161="","",SUMPRODUCT(TRANSPOSE(D161:H161),Inicio!B159:B163))</f>
        <v/>
      </c>
    </row>
    <row r="162" spans="1:9" x14ac:dyDescent="0.3">
      <c r="A162" s="17" t="str">
        <f t="shared" si="2"/>
        <v/>
      </c>
      <c r="I162" s="17" t="str">
        <f t="array" ref="I162">IF(A162="","",SUMPRODUCT(TRANSPOSE(D162:H162),Inicio!B160:B164))</f>
        <v/>
      </c>
    </row>
    <row r="163" spans="1:9" x14ac:dyDescent="0.3">
      <c r="A163" s="17" t="str">
        <f t="shared" si="2"/>
        <v/>
      </c>
      <c r="I163" s="17" t="str">
        <f t="array" ref="I163">IF(A163="","",SUMPRODUCT(TRANSPOSE(D163:H163),Inicio!B161:B165))</f>
        <v/>
      </c>
    </row>
    <row r="164" spans="1:9" x14ac:dyDescent="0.3">
      <c r="A164" s="17" t="str">
        <f t="shared" si="2"/>
        <v/>
      </c>
      <c r="I164" s="17" t="str">
        <f t="array" ref="I164">IF(A164="","",SUMPRODUCT(TRANSPOSE(D164:H164),Inicio!B162:B166))</f>
        <v/>
      </c>
    </row>
    <row r="165" spans="1:9" x14ac:dyDescent="0.3">
      <c r="A165" s="17" t="str">
        <f t="shared" si="2"/>
        <v/>
      </c>
      <c r="I165" s="17" t="str">
        <f t="array" ref="I165">IF(A165="","",SUMPRODUCT(TRANSPOSE(D165:H165),Inicio!B163:B167))</f>
        <v/>
      </c>
    </row>
    <row r="166" spans="1:9" x14ac:dyDescent="0.3">
      <c r="A166" s="17" t="str">
        <f t="shared" si="2"/>
        <v/>
      </c>
      <c r="I166" s="17" t="str">
        <f t="array" ref="I166">IF(A166="","",SUMPRODUCT(TRANSPOSE(D166:H166),Inicio!B164:B168))</f>
        <v/>
      </c>
    </row>
    <row r="167" spans="1:9" x14ac:dyDescent="0.3">
      <c r="A167" s="17" t="str">
        <f t="shared" si="2"/>
        <v/>
      </c>
      <c r="I167" s="17" t="str">
        <f t="array" ref="I167">IF(A167="","",SUMPRODUCT(TRANSPOSE(D167:H167),Inicio!B165:B169))</f>
        <v/>
      </c>
    </row>
    <row r="168" spans="1:9" x14ac:dyDescent="0.3">
      <c r="A168" s="17" t="str">
        <f t="shared" si="2"/>
        <v/>
      </c>
      <c r="I168" s="17" t="str">
        <f t="array" ref="I168">IF(A168="","",SUMPRODUCT(TRANSPOSE(D168:H168),Inicio!B166:B170))</f>
        <v/>
      </c>
    </row>
    <row r="169" spans="1:9" x14ac:dyDescent="0.3">
      <c r="A169" s="17" t="str">
        <f t="shared" si="2"/>
        <v/>
      </c>
      <c r="I169" s="17" t="str">
        <f t="array" ref="I169">IF(A169="","",SUMPRODUCT(TRANSPOSE(D169:H169),Inicio!B167:B171))</f>
        <v/>
      </c>
    </row>
    <row r="170" spans="1:9" x14ac:dyDescent="0.3">
      <c r="A170" s="17" t="str">
        <f t="shared" si="2"/>
        <v/>
      </c>
      <c r="I170" s="17" t="str">
        <f t="array" ref="I170">IF(A170="","",SUMPRODUCT(TRANSPOSE(D170:H170),Inicio!B168:B172))</f>
        <v/>
      </c>
    </row>
    <row r="171" spans="1:9" x14ac:dyDescent="0.3">
      <c r="A171" s="17" t="str">
        <f t="shared" si="2"/>
        <v/>
      </c>
      <c r="I171" s="17" t="str">
        <f t="array" ref="I171">IF(A171="","",SUMPRODUCT(TRANSPOSE(D171:H171),Inicio!B169:B173))</f>
        <v/>
      </c>
    </row>
    <row r="172" spans="1:9" x14ac:dyDescent="0.3">
      <c r="A172" s="17" t="str">
        <f t="shared" si="2"/>
        <v/>
      </c>
      <c r="I172" s="17" t="str">
        <f t="array" ref="I172">IF(A172="","",SUMPRODUCT(TRANSPOSE(D172:H172),Inicio!B170:B174))</f>
        <v/>
      </c>
    </row>
    <row r="173" spans="1:9" x14ac:dyDescent="0.3">
      <c r="A173" s="17" t="str">
        <f t="shared" si="2"/>
        <v/>
      </c>
      <c r="I173" s="17" t="str">
        <f t="array" ref="I173">IF(A173="","",SUMPRODUCT(TRANSPOSE(D173:H173),Inicio!B171:B175))</f>
        <v/>
      </c>
    </row>
    <row r="174" spans="1:9" x14ac:dyDescent="0.3">
      <c r="A174" s="17" t="str">
        <f t="shared" si="2"/>
        <v/>
      </c>
      <c r="I174" s="17" t="str">
        <f t="array" ref="I174">IF(A174="","",SUMPRODUCT(TRANSPOSE(D174:H174),Inicio!B172:B176))</f>
        <v/>
      </c>
    </row>
    <row r="175" spans="1:9" x14ac:dyDescent="0.3">
      <c r="A175" s="17" t="str">
        <f t="shared" si="2"/>
        <v/>
      </c>
      <c r="I175" s="17" t="str">
        <f t="array" ref="I175">IF(A175="","",SUMPRODUCT(TRANSPOSE(D175:H175),Inicio!B173:B177))</f>
        <v/>
      </c>
    </row>
    <row r="176" spans="1:9" x14ac:dyDescent="0.3">
      <c r="A176" s="17" t="str">
        <f t="shared" si="2"/>
        <v/>
      </c>
      <c r="I176" s="17" t="str">
        <f t="array" ref="I176">IF(A176="","",SUMPRODUCT(TRANSPOSE(D176:H176),Inicio!B174:B178))</f>
        <v/>
      </c>
    </row>
    <row r="177" spans="1:9" x14ac:dyDescent="0.3">
      <c r="A177" s="17" t="str">
        <f t="shared" si="2"/>
        <v/>
      </c>
      <c r="I177" s="17" t="str">
        <f t="array" ref="I177">IF(A177="","",SUMPRODUCT(TRANSPOSE(D177:H177),Inicio!B175:B179))</f>
        <v/>
      </c>
    </row>
    <row r="178" spans="1:9" x14ac:dyDescent="0.3">
      <c r="A178" s="17" t="str">
        <f t="shared" si="2"/>
        <v/>
      </c>
      <c r="I178" s="17" t="str">
        <f t="array" ref="I178">IF(A178="","",SUMPRODUCT(TRANSPOSE(D178:H178),Inicio!B176:B180))</f>
        <v/>
      </c>
    </row>
    <row r="179" spans="1:9" x14ac:dyDescent="0.3">
      <c r="A179" s="17" t="str">
        <f t="shared" si="2"/>
        <v/>
      </c>
      <c r="I179" s="17" t="str">
        <f t="array" ref="I179">IF(A179="","",SUMPRODUCT(TRANSPOSE(D179:H179),Inicio!B177:B181))</f>
        <v/>
      </c>
    </row>
    <row r="180" spans="1:9" x14ac:dyDescent="0.3">
      <c r="A180" s="17" t="str">
        <f t="shared" si="2"/>
        <v/>
      </c>
      <c r="I180" s="17" t="str">
        <f t="array" ref="I180">IF(A180="","",SUMPRODUCT(TRANSPOSE(D180:H180),Inicio!B178:B182))</f>
        <v/>
      </c>
    </row>
    <row r="181" spans="1:9" x14ac:dyDescent="0.3">
      <c r="A181" s="17" t="str">
        <f t="shared" si="2"/>
        <v/>
      </c>
      <c r="I181" s="17" t="str">
        <f t="array" ref="I181">IF(A181="","",SUMPRODUCT(TRANSPOSE(D181:H181),Inicio!B179:B183))</f>
        <v/>
      </c>
    </row>
    <row r="182" spans="1:9" x14ac:dyDescent="0.3">
      <c r="A182" s="17" t="str">
        <f t="shared" si="2"/>
        <v/>
      </c>
      <c r="I182" s="17" t="str">
        <f t="array" ref="I182">IF(A182="","",SUMPRODUCT(TRANSPOSE(D182:H182),Inicio!B180:B184))</f>
        <v/>
      </c>
    </row>
    <row r="183" spans="1:9" x14ac:dyDescent="0.3">
      <c r="A183" s="17" t="str">
        <f t="shared" si="2"/>
        <v/>
      </c>
      <c r="I183" s="17" t="str">
        <f t="array" ref="I183">IF(A183="","",SUMPRODUCT(TRANSPOSE(D183:H183),Inicio!B181:B185))</f>
        <v/>
      </c>
    </row>
    <row r="184" spans="1:9" x14ac:dyDescent="0.3">
      <c r="A184" s="17" t="str">
        <f t="shared" si="2"/>
        <v/>
      </c>
      <c r="I184" s="17" t="str">
        <f t="array" ref="I184">IF(A184="","",SUMPRODUCT(TRANSPOSE(D184:H184),Inicio!B182:B186))</f>
        <v/>
      </c>
    </row>
    <row r="185" spans="1:9" x14ac:dyDescent="0.3">
      <c r="A185" s="17" t="str">
        <f t="shared" si="2"/>
        <v/>
      </c>
      <c r="I185" s="17" t="str">
        <f t="array" ref="I185">IF(A185="","",SUMPRODUCT(TRANSPOSE(D185:H185),Inicio!B183:B187))</f>
        <v/>
      </c>
    </row>
    <row r="186" spans="1:9" x14ac:dyDescent="0.3">
      <c r="A186" s="17" t="str">
        <f t="shared" si="2"/>
        <v/>
      </c>
      <c r="I186" s="17" t="str">
        <f t="array" ref="I186">IF(A186="","",SUMPRODUCT(TRANSPOSE(D186:H186),Inicio!B184:B188))</f>
        <v/>
      </c>
    </row>
    <row r="187" spans="1:9" x14ac:dyDescent="0.3">
      <c r="A187" s="17" t="str">
        <f t="shared" si="2"/>
        <v/>
      </c>
      <c r="I187" s="17" t="str">
        <f t="array" ref="I187">IF(A187="","",SUMPRODUCT(TRANSPOSE(D187:H187),Inicio!B185:B189))</f>
        <v/>
      </c>
    </row>
    <row r="188" spans="1:9" x14ac:dyDescent="0.3">
      <c r="A188" s="17" t="str">
        <f t="shared" si="2"/>
        <v/>
      </c>
      <c r="I188" s="17" t="str">
        <f t="array" ref="I188">IF(A188="","",SUMPRODUCT(TRANSPOSE(D188:H188),Inicio!B186:B190))</f>
        <v/>
      </c>
    </row>
    <row r="189" spans="1:9" x14ac:dyDescent="0.3">
      <c r="A189" s="17" t="str">
        <f t="shared" si="2"/>
        <v/>
      </c>
      <c r="I189" s="17" t="str">
        <f t="array" ref="I189">IF(A189="","",SUMPRODUCT(TRANSPOSE(D189:H189),Inicio!B187:B191))</f>
        <v/>
      </c>
    </row>
    <row r="190" spans="1:9" x14ac:dyDescent="0.3">
      <c r="A190" s="17" t="str">
        <f t="shared" si="2"/>
        <v/>
      </c>
      <c r="I190" s="17" t="str">
        <f t="array" ref="I190">IF(A190="","",SUMPRODUCT(TRANSPOSE(D190:H190),Inicio!B188:B192))</f>
        <v/>
      </c>
    </row>
    <row r="191" spans="1:9" x14ac:dyDescent="0.3">
      <c r="A191" s="17" t="str">
        <f t="shared" si="2"/>
        <v/>
      </c>
      <c r="I191" s="17" t="str">
        <f t="array" ref="I191">IF(A191="","",SUMPRODUCT(TRANSPOSE(D191:H191),Inicio!B189:B193))</f>
        <v/>
      </c>
    </row>
    <row r="192" spans="1:9" x14ac:dyDescent="0.3">
      <c r="A192" s="17" t="str">
        <f t="shared" si="2"/>
        <v/>
      </c>
      <c r="I192" s="17" t="str">
        <f t="array" ref="I192">IF(A192="","",SUMPRODUCT(TRANSPOSE(D192:H192),Inicio!B190:B194))</f>
        <v/>
      </c>
    </row>
    <row r="193" spans="1:9" x14ac:dyDescent="0.3">
      <c r="A193" s="17" t="str">
        <f t="shared" si="2"/>
        <v/>
      </c>
      <c r="I193" s="17" t="str">
        <f t="array" ref="I193">IF(A193="","",SUMPRODUCT(TRANSPOSE(D193:H193),Inicio!B191:B195))</f>
        <v/>
      </c>
    </row>
    <row r="194" spans="1:9" x14ac:dyDescent="0.3">
      <c r="A194" s="17" t="str">
        <f t="shared" si="2"/>
        <v/>
      </c>
      <c r="I194" s="17" t="str">
        <f t="array" ref="I194">IF(A194="","",SUMPRODUCT(TRANSPOSE(D194:H194),Inicio!B192:B196))</f>
        <v/>
      </c>
    </row>
    <row r="195" spans="1:9" x14ac:dyDescent="0.3">
      <c r="A195" s="17" t="str">
        <f t="shared" si="2"/>
        <v/>
      </c>
      <c r="I195" s="17" t="str">
        <f t="array" ref="I195">IF(A195="","",SUMPRODUCT(TRANSPOSE(D195:H195),Inicio!B193:B197))</f>
        <v/>
      </c>
    </row>
    <row r="196" spans="1:9" x14ac:dyDescent="0.3">
      <c r="A196" s="17" t="str">
        <f t="shared" si="2"/>
        <v/>
      </c>
      <c r="I196" s="17" t="str">
        <f t="array" ref="I196">IF(A196="","",SUMPRODUCT(TRANSPOSE(D196:H196),Inicio!B194:B198))</f>
        <v/>
      </c>
    </row>
    <row r="197" spans="1:9" x14ac:dyDescent="0.3">
      <c r="A197" s="17" t="str">
        <f t="shared" ref="A197:A260" si="3">IF(IFERROR(YEAR(B197),2000+RIGHT(B197,2))=1900,"",IFERROR(YEAR(B197),2000+RIGHT(B197,2)))</f>
        <v/>
      </c>
      <c r="I197" s="17" t="str">
        <f t="array" ref="I197">IF(A197="","",SUMPRODUCT(TRANSPOSE(D197:H197),Inicio!B195:B199))</f>
        <v/>
      </c>
    </row>
    <row r="198" spans="1:9" x14ac:dyDescent="0.3">
      <c r="A198" s="17" t="str">
        <f t="shared" si="3"/>
        <v/>
      </c>
      <c r="I198" s="17" t="str">
        <f t="array" ref="I198">IF(A198="","",SUMPRODUCT(TRANSPOSE(D198:H198),Inicio!B196:B200))</f>
        <v/>
      </c>
    </row>
    <row r="199" spans="1:9" x14ac:dyDescent="0.3">
      <c r="A199" s="17" t="str">
        <f t="shared" si="3"/>
        <v/>
      </c>
      <c r="I199" s="17" t="str">
        <f t="array" ref="I199">IF(A199="","",SUMPRODUCT(TRANSPOSE(D199:H199),Inicio!B197:B201))</f>
        <v/>
      </c>
    </row>
    <row r="200" spans="1:9" x14ac:dyDescent="0.3">
      <c r="A200" s="17" t="str">
        <f t="shared" si="3"/>
        <v/>
      </c>
      <c r="I200" s="17" t="str">
        <f t="array" ref="I200">IF(A200="","",SUMPRODUCT(TRANSPOSE(D200:H200),Inicio!B198:B202))</f>
        <v/>
      </c>
    </row>
    <row r="201" spans="1:9" x14ac:dyDescent="0.3">
      <c r="A201" s="17" t="str">
        <f t="shared" si="3"/>
        <v/>
      </c>
      <c r="I201" s="17" t="str">
        <f t="array" ref="I201">IF(A201="","",SUMPRODUCT(TRANSPOSE(D201:H201),Inicio!B199:B203))</f>
        <v/>
      </c>
    </row>
    <row r="202" spans="1:9" x14ac:dyDescent="0.3">
      <c r="A202" s="17" t="str">
        <f t="shared" si="3"/>
        <v/>
      </c>
      <c r="I202" s="17" t="str">
        <f t="array" ref="I202">IF(A202="","",SUMPRODUCT(TRANSPOSE(D202:H202),Inicio!B200:B204))</f>
        <v/>
      </c>
    </row>
    <row r="203" spans="1:9" x14ac:dyDescent="0.3">
      <c r="A203" s="17" t="str">
        <f t="shared" si="3"/>
        <v/>
      </c>
      <c r="I203" s="17" t="str">
        <f t="array" ref="I203">IF(A203="","",SUMPRODUCT(TRANSPOSE(D203:H203),Inicio!B201:B205))</f>
        <v/>
      </c>
    </row>
    <row r="204" spans="1:9" x14ac:dyDescent="0.3">
      <c r="A204" s="17" t="str">
        <f t="shared" si="3"/>
        <v/>
      </c>
      <c r="I204" s="17" t="str">
        <f t="array" ref="I204">IF(A204="","",SUMPRODUCT(TRANSPOSE(D204:H204),Inicio!B202:B206))</f>
        <v/>
      </c>
    </row>
    <row r="205" spans="1:9" x14ac:dyDescent="0.3">
      <c r="A205" s="17" t="str">
        <f t="shared" si="3"/>
        <v/>
      </c>
      <c r="I205" s="17" t="str">
        <f t="array" ref="I205">IF(A205="","",SUMPRODUCT(TRANSPOSE(D205:H205),Inicio!B203:B207))</f>
        <v/>
      </c>
    </row>
    <row r="206" spans="1:9" x14ac:dyDescent="0.3">
      <c r="A206" s="17" t="str">
        <f t="shared" si="3"/>
        <v/>
      </c>
      <c r="I206" s="17" t="str">
        <f t="array" ref="I206">IF(A206="","",SUMPRODUCT(TRANSPOSE(D206:H206),Inicio!B204:B208))</f>
        <v/>
      </c>
    </row>
    <row r="207" spans="1:9" x14ac:dyDescent="0.3">
      <c r="A207" s="17" t="str">
        <f t="shared" si="3"/>
        <v/>
      </c>
      <c r="I207" s="17" t="str">
        <f t="array" ref="I207">IF(A207="","",SUMPRODUCT(TRANSPOSE(D207:H207),Inicio!B205:B209))</f>
        <v/>
      </c>
    </row>
    <row r="208" spans="1:9" x14ac:dyDescent="0.3">
      <c r="A208" s="17" t="str">
        <f t="shared" si="3"/>
        <v/>
      </c>
      <c r="I208" s="17" t="str">
        <f t="array" ref="I208">IF(A208="","",SUMPRODUCT(TRANSPOSE(D208:H208),Inicio!B206:B210))</f>
        <v/>
      </c>
    </row>
    <row r="209" spans="1:9" x14ac:dyDescent="0.3">
      <c r="A209" s="17" t="str">
        <f t="shared" si="3"/>
        <v/>
      </c>
      <c r="I209" s="17" t="str">
        <f t="array" ref="I209">IF(A209="","",SUMPRODUCT(TRANSPOSE(D209:H209),Inicio!B207:B211))</f>
        <v/>
      </c>
    </row>
    <row r="210" spans="1:9" x14ac:dyDescent="0.3">
      <c r="A210" s="17" t="str">
        <f t="shared" si="3"/>
        <v/>
      </c>
      <c r="I210" s="17" t="str">
        <f t="array" ref="I210">IF(A210="","",SUMPRODUCT(TRANSPOSE(D210:H210),Inicio!B208:B212))</f>
        <v/>
      </c>
    </row>
    <row r="211" spans="1:9" x14ac:dyDescent="0.3">
      <c r="A211" s="17" t="str">
        <f t="shared" si="3"/>
        <v/>
      </c>
      <c r="I211" s="17" t="str">
        <f t="array" ref="I211">IF(A211="","",SUMPRODUCT(TRANSPOSE(D211:H211),Inicio!B209:B213))</f>
        <v/>
      </c>
    </row>
    <row r="212" spans="1:9" x14ac:dyDescent="0.3">
      <c r="A212" s="17" t="str">
        <f t="shared" si="3"/>
        <v/>
      </c>
      <c r="I212" s="17" t="str">
        <f t="array" ref="I212">IF(A212="","",SUMPRODUCT(TRANSPOSE(D212:H212),Inicio!B210:B214))</f>
        <v/>
      </c>
    </row>
    <row r="213" spans="1:9" x14ac:dyDescent="0.3">
      <c r="A213" s="17" t="str">
        <f t="shared" si="3"/>
        <v/>
      </c>
      <c r="I213" s="17" t="str">
        <f t="array" ref="I213">IF(A213="","",SUMPRODUCT(TRANSPOSE(D213:H213),Inicio!B211:B215))</f>
        <v/>
      </c>
    </row>
    <row r="214" spans="1:9" x14ac:dyDescent="0.3">
      <c r="A214" s="17" t="str">
        <f t="shared" si="3"/>
        <v/>
      </c>
      <c r="I214" s="17" t="str">
        <f t="array" ref="I214">IF(A214="","",SUMPRODUCT(TRANSPOSE(D214:H214),Inicio!B212:B216))</f>
        <v/>
      </c>
    </row>
    <row r="215" spans="1:9" x14ac:dyDescent="0.3">
      <c r="A215" s="17" t="str">
        <f t="shared" si="3"/>
        <v/>
      </c>
      <c r="I215" s="17" t="str">
        <f t="array" ref="I215">IF(A215="","",SUMPRODUCT(TRANSPOSE(D215:H215),Inicio!B213:B217))</f>
        <v/>
      </c>
    </row>
    <row r="216" spans="1:9" x14ac:dyDescent="0.3">
      <c r="A216" s="17" t="str">
        <f t="shared" si="3"/>
        <v/>
      </c>
      <c r="I216" s="17" t="str">
        <f t="array" ref="I216">IF(A216="","",SUMPRODUCT(TRANSPOSE(D216:H216),Inicio!B214:B218))</f>
        <v/>
      </c>
    </row>
    <row r="217" spans="1:9" x14ac:dyDescent="0.3">
      <c r="A217" s="17" t="str">
        <f t="shared" si="3"/>
        <v/>
      </c>
      <c r="I217" s="17" t="str">
        <f t="array" ref="I217">IF(A217="","",SUMPRODUCT(TRANSPOSE(D217:H217),Inicio!B215:B219))</f>
        <v/>
      </c>
    </row>
    <row r="218" spans="1:9" x14ac:dyDescent="0.3">
      <c r="A218" s="17" t="str">
        <f t="shared" si="3"/>
        <v/>
      </c>
      <c r="I218" s="17" t="str">
        <f t="array" ref="I218">IF(A218="","",SUMPRODUCT(TRANSPOSE(D218:H218),Inicio!B216:B220))</f>
        <v/>
      </c>
    </row>
    <row r="219" spans="1:9" x14ac:dyDescent="0.3">
      <c r="A219" s="17" t="str">
        <f t="shared" si="3"/>
        <v/>
      </c>
      <c r="I219" s="17" t="str">
        <f t="array" ref="I219">IF(A219="","",SUMPRODUCT(TRANSPOSE(D219:H219),Inicio!B217:B221))</f>
        <v/>
      </c>
    </row>
    <row r="220" spans="1:9" x14ac:dyDescent="0.3">
      <c r="A220" s="17" t="str">
        <f t="shared" si="3"/>
        <v/>
      </c>
      <c r="I220" s="17" t="str">
        <f t="array" ref="I220">IF(A220="","",SUMPRODUCT(TRANSPOSE(D220:H220),Inicio!B218:B222))</f>
        <v/>
      </c>
    </row>
    <row r="221" spans="1:9" x14ac:dyDescent="0.3">
      <c r="A221" s="17" t="str">
        <f t="shared" si="3"/>
        <v/>
      </c>
      <c r="I221" s="17" t="str">
        <f t="array" ref="I221">IF(A221="","",SUMPRODUCT(TRANSPOSE(D221:H221),Inicio!B219:B223))</f>
        <v/>
      </c>
    </row>
    <row r="222" spans="1:9" x14ac:dyDescent="0.3">
      <c r="A222" s="17" t="str">
        <f t="shared" si="3"/>
        <v/>
      </c>
      <c r="I222" s="17" t="str">
        <f t="array" ref="I222">IF(A222="","",SUMPRODUCT(TRANSPOSE(D222:H222),Inicio!B220:B224))</f>
        <v/>
      </c>
    </row>
    <row r="223" spans="1:9" x14ac:dyDescent="0.3">
      <c r="A223" s="17" t="str">
        <f t="shared" si="3"/>
        <v/>
      </c>
      <c r="I223" s="17" t="str">
        <f t="array" ref="I223">IF(A223="","",SUMPRODUCT(TRANSPOSE(D223:H223),Inicio!B221:B225))</f>
        <v/>
      </c>
    </row>
    <row r="224" spans="1:9" x14ac:dyDescent="0.3">
      <c r="A224" s="17" t="str">
        <f t="shared" si="3"/>
        <v/>
      </c>
      <c r="I224" s="17" t="str">
        <f t="array" ref="I224">IF(A224="","",SUMPRODUCT(TRANSPOSE(D224:H224),Inicio!B222:B226))</f>
        <v/>
      </c>
    </row>
    <row r="225" spans="1:9" x14ac:dyDescent="0.3">
      <c r="A225" s="17" t="str">
        <f t="shared" si="3"/>
        <v/>
      </c>
      <c r="I225" s="17" t="str">
        <f t="array" ref="I225">IF(A225="","",SUMPRODUCT(TRANSPOSE(D225:H225),Inicio!B223:B227))</f>
        <v/>
      </c>
    </row>
    <row r="226" spans="1:9" x14ac:dyDescent="0.3">
      <c r="A226" s="17" t="str">
        <f t="shared" si="3"/>
        <v/>
      </c>
      <c r="I226" s="17" t="str">
        <f t="array" ref="I226">IF(A226="","",SUMPRODUCT(TRANSPOSE(D226:H226),Inicio!B224:B228))</f>
        <v/>
      </c>
    </row>
    <row r="227" spans="1:9" x14ac:dyDescent="0.3">
      <c r="A227" s="17" t="str">
        <f t="shared" si="3"/>
        <v/>
      </c>
      <c r="I227" s="17" t="str">
        <f t="array" ref="I227">IF(A227="","",SUMPRODUCT(TRANSPOSE(D227:H227),Inicio!B225:B229))</f>
        <v/>
      </c>
    </row>
    <row r="228" spans="1:9" x14ac:dyDescent="0.3">
      <c r="A228" s="17" t="str">
        <f t="shared" si="3"/>
        <v/>
      </c>
      <c r="I228" s="17" t="str">
        <f t="array" ref="I228">IF(A228="","",SUMPRODUCT(TRANSPOSE(D228:H228),Inicio!B226:B230))</f>
        <v/>
      </c>
    </row>
    <row r="229" spans="1:9" x14ac:dyDescent="0.3">
      <c r="A229" s="17" t="str">
        <f t="shared" si="3"/>
        <v/>
      </c>
      <c r="I229" s="17" t="str">
        <f t="array" ref="I229">IF(A229="","",SUMPRODUCT(TRANSPOSE(D229:H229),Inicio!B227:B231))</f>
        <v/>
      </c>
    </row>
    <row r="230" spans="1:9" x14ac:dyDescent="0.3">
      <c r="A230" s="17" t="str">
        <f t="shared" si="3"/>
        <v/>
      </c>
      <c r="I230" s="17" t="str">
        <f t="array" ref="I230">IF(A230="","",SUMPRODUCT(TRANSPOSE(D230:H230),Inicio!B228:B232))</f>
        <v/>
      </c>
    </row>
    <row r="231" spans="1:9" x14ac:dyDescent="0.3">
      <c r="A231" s="17" t="str">
        <f t="shared" si="3"/>
        <v/>
      </c>
      <c r="I231" s="17" t="str">
        <f t="array" ref="I231">IF(A231="","",SUMPRODUCT(TRANSPOSE(D231:H231),Inicio!B229:B233))</f>
        <v/>
      </c>
    </row>
    <row r="232" spans="1:9" x14ac:dyDescent="0.3">
      <c r="A232" s="17" t="str">
        <f t="shared" si="3"/>
        <v/>
      </c>
      <c r="I232" s="17" t="str">
        <f t="array" ref="I232">IF(A232="","",SUMPRODUCT(TRANSPOSE(D232:H232),Inicio!B230:B234))</f>
        <v/>
      </c>
    </row>
    <row r="233" spans="1:9" x14ac:dyDescent="0.3">
      <c r="A233" s="17" t="str">
        <f t="shared" si="3"/>
        <v/>
      </c>
      <c r="I233" s="17" t="str">
        <f t="array" ref="I233">IF(A233="","",SUMPRODUCT(TRANSPOSE(D233:H233),Inicio!B231:B235))</f>
        <v/>
      </c>
    </row>
    <row r="234" spans="1:9" x14ac:dyDescent="0.3">
      <c r="A234" s="17" t="str">
        <f t="shared" si="3"/>
        <v/>
      </c>
      <c r="I234" s="17" t="str">
        <f t="array" ref="I234">IF(A234="","",SUMPRODUCT(TRANSPOSE(D234:H234),Inicio!B232:B236))</f>
        <v/>
      </c>
    </row>
    <row r="235" spans="1:9" x14ac:dyDescent="0.3">
      <c r="A235" s="17" t="str">
        <f t="shared" si="3"/>
        <v/>
      </c>
      <c r="I235" s="17" t="str">
        <f t="array" ref="I235">IF(A235="","",SUMPRODUCT(TRANSPOSE(D235:H235),Inicio!B233:B237))</f>
        <v/>
      </c>
    </row>
    <row r="236" spans="1:9" x14ac:dyDescent="0.3">
      <c r="A236" s="17" t="str">
        <f t="shared" si="3"/>
        <v/>
      </c>
      <c r="I236" s="17" t="str">
        <f t="array" ref="I236">IF(A236="","",SUMPRODUCT(TRANSPOSE(D236:H236),Inicio!B234:B238))</f>
        <v/>
      </c>
    </row>
    <row r="237" spans="1:9" x14ac:dyDescent="0.3">
      <c r="A237" s="17" t="str">
        <f t="shared" si="3"/>
        <v/>
      </c>
      <c r="I237" s="17" t="str">
        <f t="array" ref="I237">IF(A237="","",SUMPRODUCT(TRANSPOSE(D237:H237),Inicio!B235:B239))</f>
        <v/>
      </c>
    </row>
    <row r="238" spans="1:9" x14ac:dyDescent="0.3">
      <c r="A238" s="17" t="str">
        <f t="shared" si="3"/>
        <v/>
      </c>
      <c r="I238" s="17" t="str">
        <f t="array" ref="I238">IF(A238="","",SUMPRODUCT(TRANSPOSE(D238:H238),Inicio!B236:B240))</f>
        <v/>
      </c>
    </row>
    <row r="239" spans="1:9" x14ac:dyDescent="0.3">
      <c r="A239" s="17" t="str">
        <f t="shared" si="3"/>
        <v/>
      </c>
      <c r="I239" s="17" t="str">
        <f t="array" ref="I239">IF(A239="","",SUMPRODUCT(TRANSPOSE(D239:H239),Inicio!B237:B241))</f>
        <v/>
      </c>
    </row>
    <row r="240" spans="1:9" x14ac:dyDescent="0.3">
      <c r="A240" s="17" t="str">
        <f t="shared" si="3"/>
        <v/>
      </c>
      <c r="I240" s="17" t="str">
        <f t="array" ref="I240">IF(A240="","",SUMPRODUCT(TRANSPOSE(D240:H240),Inicio!B238:B242))</f>
        <v/>
      </c>
    </row>
    <row r="241" spans="1:9" x14ac:dyDescent="0.3">
      <c r="A241" s="17" t="str">
        <f t="shared" si="3"/>
        <v/>
      </c>
      <c r="I241" s="17" t="str">
        <f t="array" ref="I241">IF(A241="","",SUMPRODUCT(TRANSPOSE(D241:H241),Inicio!B239:B243))</f>
        <v/>
      </c>
    </row>
    <row r="242" spans="1:9" x14ac:dyDescent="0.3">
      <c r="A242" s="17" t="str">
        <f t="shared" si="3"/>
        <v/>
      </c>
      <c r="I242" s="17" t="str">
        <f t="array" ref="I242">IF(A242="","",SUMPRODUCT(TRANSPOSE(D242:H242),Inicio!B240:B244))</f>
        <v/>
      </c>
    </row>
    <row r="243" spans="1:9" x14ac:dyDescent="0.3">
      <c r="A243" s="17" t="str">
        <f t="shared" si="3"/>
        <v/>
      </c>
      <c r="I243" s="17" t="str">
        <f t="array" ref="I243">IF(A243="","",SUMPRODUCT(TRANSPOSE(D243:H243),Inicio!B241:B245))</f>
        <v/>
      </c>
    </row>
    <row r="244" spans="1:9" x14ac:dyDescent="0.3">
      <c r="A244" s="17" t="str">
        <f t="shared" si="3"/>
        <v/>
      </c>
      <c r="I244" s="17" t="str">
        <f t="array" ref="I244">IF(A244="","",SUMPRODUCT(TRANSPOSE(D244:H244),Inicio!B242:B246))</f>
        <v/>
      </c>
    </row>
    <row r="245" spans="1:9" x14ac:dyDescent="0.3">
      <c r="A245" s="17" t="str">
        <f t="shared" si="3"/>
        <v/>
      </c>
      <c r="I245" s="17" t="str">
        <f t="array" ref="I245">IF(A245="","",SUMPRODUCT(TRANSPOSE(D245:H245),Inicio!B243:B247))</f>
        <v/>
      </c>
    </row>
    <row r="246" spans="1:9" x14ac:dyDescent="0.3">
      <c r="A246" s="17" t="str">
        <f t="shared" si="3"/>
        <v/>
      </c>
      <c r="I246" s="17" t="str">
        <f t="array" ref="I246">IF(A246="","",SUMPRODUCT(TRANSPOSE(D246:H246),Inicio!B244:B248))</f>
        <v/>
      </c>
    </row>
    <row r="247" spans="1:9" x14ac:dyDescent="0.3">
      <c r="A247" s="17" t="str">
        <f t="shared" si="3"/>
        <v/>
      </c>
      <c r="I247" s="17" t="str">
        <f t="array" ref="I247">IF(A247="","",SUMPRODUCT(TRANSPOSE(D247:H247),Inicio!B245:B249))</f>
        <v/>
      </c>
    </row>
    <row r="248" spans="1:9" x14ac:dyDescent="0.3">
      <c r="A248" s="17" t="str">
        <f t="shared" si="3"/>
        <v/>
      </c>
      <c r="I248" s="17" t="str">
        <f t="array" ref="I248">IF(A248="","",SUMPRODUCT(TRANSPOSE(D248:H248),Inicio!B246:B250))</f>
        <v/>
      </c>
    </row>
    <row r="249" spans="1:9" x14ac:dyDescent="0.3">
      <c r="A249" s="17" t="str">
        <f t="shared" si="3"/>
        <v/>
      </c>
      <c r="I249" s="17" t="str">
        <f t="array" ref="I249">IF(A249="","",SUMPRODUCT(TRANSPOSE(D249:H249),Inicio!B247:B251))</f>
        <v/>
      </c>
    </row>
    <row r="250" spans="1:9" x14ac:dyDescent="0.3">
      <c r="A250" s="17" t="str">
        <f t="shared" si="3"/>
        <v/>
      </c>
      <c r="I250" s="17" t="str">
        <f t="array" ref="I250">IF(A250="","",SUMPRODUCT(TRANSPOSE(D250:H250),Inicio!B248:B252))</f>
        <v/>
      </c>
    </row>
    <row r="251" spans="1:9" x14ac:dyDescent="0.3">
      <c r="A251" s="17" t="str">
        <f t="shared" si="3"/>
        <v/>
      </c>
      <c r="I251" s="17" t="str">
        <f t="array" ref="I251">IF(A251="","",SUMPRODUCT(TRANSPOSE(D251:H251),Inicio!B249:B253))</f>
        <v/>
      </c>
    </row>
    <row r="252" spans="1:9" x14ac:dyDescent="0.3">
      <c r="A252" s="17" t="str">
        <f t="shared" si="3"/>
        <v/>
      </c>
      <c r="I252" s="17" t="str">
        <f t="array" ref="I252">IF(A252="","",SUMPRODUCT(TRANSPOSE(D252:H252),Inicio!B250:B254))</f>
        <v/>
      </c>
    </row>
    <row r="253" spans="1:9" x14ac:dyDescent="0.3">
      <c r="A253" s="17" t="str">
        <f t="shared" si="3"/>
        <v/>
      </c>
      <c r="I253" s="17" t="str">
        <f t="array" ref="I253">IF(A253="","",SUMPRODUCT(TRANSPOSE(D253:H253),Inicio!B251:B255))</f>
        <v/>
      </c>
    </row>
    <row r="254" spans="1:9" x14ac:dyDescent="0.3">
      <c r="A254" s="17" t="str">
        <f t="shared" si="3"/>
        <v/>
      </c>
      <c r="I254" s="17" t="str">
        <f t="array" ref="I254">IF(A254="","",SUMPRODUCT(TRANSPOSE(D254:H254),Inicio!B252:B256))</f>
        <v/>
      </c>
    </row>
    <row r="255" spans="1:9" x14ac:dyDescent="0.3">
      <c r="A255" s="17" t="str">
        <f t="shared" si="3"/>
        <v/>
      </c>
      <c r="I255" s="17" t="str">
        <f t="array" ref="I255">IF(A255="","",SUMPRODUCT(TRANSPOSE(D255:H255),Inicio!B253:B257))</f>
        <v/>
      </c>
    </row>
    <row r="256" spans="1:9" x14ac:dyDescent="0.3">
      <c r="A256" s="17" t="str">
        <f t="shared" si="3"/>
        <v/>
      </c>
      <c r="I256" s="17" t="str">
        <f t="array" ref="I256">IF(A256="","",SUMPRODUCT(TRANSPOSE(D256:H256),Inicio!B254:B258))</f>
        <v/>
      </c>
    </row>
    <row r="257" spans="1:9" x14ac:dyDescent="0.3">
      <c r="A257" s="17" t="str">
        <f t="shared" si="3"/>
        <v/>
      </c>
      <c r="I257" s="17" t="str">
        <f t="array" ref="I257">IF(A257="","",SUMPRODUCT(TRANSPOSE(D257:H257),Inicio!B255:B259))</f>
        <v/>
      </c>
    </row>
    <row r="258" spans="1:9" x14ac:dyDescent="0.3">
      <c r="A258" s="17" t="str">
        <f t="shared" si="3"/>
        <v/>
      </c>
      <c r="I258" s="17" t="str">
        <f t="array" ref="I258">IF(A258="","",SUMPRODUCT(TRANSPOSE(D258:H258),Inicio!B256:B260))</f>
        <v/>
      </c>
    </row>
    <row r="259" spans="1:9" x14ac:dyDescent="0.3">
      <c r="A259" s="17" t="str">
        <f t="shared" si="3"/>
        <v/>
      </c>
      <c r="I259" s="17" t="str">
        <f t="array" ref="I259">IF(A259="","",SUMPRODUCT(TRANSPOSE(D259:H259),Inicio!B257:B261))</f>
        <v/>
      </c>
    </row>
    <row r="260" spans="1:9" x14ac:dyDescent="0.3">
      <c r="A260" s="17" t="str">
        <f t="shared" si="3"/>
        <v/>
      </c>
      <c r="I260" s="17" t="str">
        <f t="array" ref="I260">IF(A260="","",SUMPRODUCT(TRANSPOSE(D260:H260),Inicio!B258:B262))</f>
        <v/>
      </c>
    </row>
    <row r="261" spans="1:9" x14ac:dyDescent="0.3">
      <c r="A261" s="17" t="str">
        <f t="shared" ref="A261:A324" si="4">IF(IFERROR(YEAR(B261),2000+RIGHT(B261,2))=1900,"",IFERROR(YEAR(B261),2000+RIGHT(B261,2)))</f>
        <v/>
      </c>
      <c r="I261" s="17" t="str">
        <f t="array" ref="I261">IF(A261="","",SUMPRODUCT(TRANSPOSE(D261:H261),Inicio!B259:B263))</f>
        <v/>
      </c>
    </row>
    <row r="262" spans="1:9" x14ac:dyDescent="0.3">
      <c r="A262" s="17" t="str">
        <f t="shared" si="4"/>
        <v/>
      </c>
      <c r="I262" s="17" t="str">
        <f t="array" ref="I262">IF(A262="","",SUMPRODUCT(TRANSPOSE(D262:H262),Inicio!B260:B264))</f>
        <v/>
      </c>
    </row>
    <row r="263" spans="1:9" x14ac:dyDescent="0.3">
      <c r="A263" s="17" t="str">
        <f t="shared" si="4"/>
        <v/>
      </c>
      <c r="I263" s="17" t="str">
        <f t="array" ref="I263">IF(A263="","",SUMPRODUCT(TRANSPOSE(D263:H263),Inicio!B261:B265))</f>
        <v/>
      </c>
    </row>
    <row r="264" spans="1:9" x14ac:dyDescent="0.3">
      <c r="A264" s="17" t="str">
        <f t="shared" si="4"/>
        <v/>
      </c>
      <c r="I264" s="17" t="str">
        <f t="array" ref="I264">IF(A264="","",SUMPRODUCT(TRANSPOSE(D264:H264),Inicio!B262:B266))</f>
        <v/>
      </c>
    </row>
    <row r="265" spans="1:9" x14ac:dyDescent="0.3">
      <c r="A265" s="17" t="str">
        <f t="shared" si="4"/>
        <v/>
      </c>
      <c r="I265" s="17" t="str">
        <f t="array" ref="I265">IF(A265="","",SUMPRODUCT(TRANSPOSE(D265:H265),Inicio!B263:B267))</f>
        <v/>
      </c>
    </row>
    <row r="266" spans="1:9" x14ac:dyDescent="0.3">
      <c r="A266" s="17" t="str">
        <f t="shared" si="4"/>
        <v/>
      </c>
      <c r="I266" s="17" t="str">
        <f t="array" ref="I266">IF(A266="","",SUMPRODUCT(TRANSPOSE(D266:H266),Inicio!B264:B268))</f>
        <v/>
      </c>
    </row>
    <row r="267" spans="1:9" x14ac:dyDescent="0.3">
      <c r="A267" s="17" t="str">
        <f t="shared" si="4"/>
        <v/>
      </c>
      <c r="I267" s="17" t="str">
        <f t="array" ref="I267">IF(A267="","",SUMPRODUCT(TRANSPOSE(D267:H267),Inicio!B265:B269))</f>
        <v/>
      </c>
    </row>
    <row r="268" spans="1:9" x14ac:dyDescent="0.3">
      <c r="A268" s="17" t="str">
        <f t="shared" si="4"/>
        <v/>
      </c>
      <c r="I268" s="17" t="str">
        <f t="array" ref="I268">IF(A268="","",SUMPRODUCT(TRANSPOSE(D268:H268),Inicio!B266:B270))</f>
        <v/>
      </c>
    </row>
    <row r="269" spans="1:9" x14ac:dyDescent="0.3">
      <c r="A269" s="17" t="str">
        <f t="shared" si="4"/>
        <v/>
      </c>
      <c r="I269" s="17" t="str">
        <f t="array" ref="I269">IF(A269="","",SUMPRODUCT(TRANSPOSE(D269:H269),Inicio!B267:B271))</f>
        <v/>
      </c>
    </row>
    <row r="270" spans="1:9" x14ac:dyDescent="0.3">
      <c r="A270" s="17" t="str">
        <f t="shared" si="4"/>
        <v/>
      </c>
      <c r="I270" s="17" t="str">
        <f t="array" ref="I270">IF(A270="","",SUMPRODUCT(TRANSPOSE(D270:H270),Inicio!B268:B272))</f>
        <v/>
      </c>
    </row>
    <row r="271" spans="1:9" x14ac:dyDescent="0.3">
      <c r="A271" s="17" t="str">
        <f t="shared" si="4"/>
        <v/>
      </c>
      <c r="I271" s="17" t="str">
        <f t="array" ref="I271">IF(A271="","",SUMPRODUCT(TRANSPOSE(D271:H271),Inicio!B269:B273))</f>
        <v/>
      </c>
    </row>
    <row r="272" spans="1:9" x14ac:dyDescent="0.3">
      <c r="A272" s="17" t="str">
        <f t="shared" si="4"/>
        <v/>
      </c>
      <c r="I272" s="17" t="str">
        <f t="array" ref="I272">IF(A272="","",SUMPRODUCT(TRANSPOSE(D272:H272),Inicio!B270:B274))</f>
        <v/>
      </c>
    </row>
    <row r="273" spans="1:9" x14ac:dyDescent="0.3">
      <c r="A273" s="17" t="str">
        <f t="shared" si="4"/>
        <v/>
      </c>
      <c r="I273" s="17" t="str">
        <f t="array" ref="I273">IF(A273="","",SUMPRODUCT(TRANSPOSE(D273:H273),Inicio!B271:B275))</f>
        <v/>
      </c>
    </row>
    <row r="274" spans="1:9" x14ac:dyDescent="0.3">
      <c r="A274" s="17" t="str">
        <f t="shared" si="4"/>
        <v/>
      </c>
      <c r="I274" s="17" t="str">
        <f t="array" ref="I274">IF(A274="","",SUMPRODUCT(TRANSPOSE(D274:H274),Inicio!B272:B276))</f>
        <v/>
      </c>
    </row>
    <row r="275" spans="1:9" x14ac:dyDescent="0.3">
      <c r="A275" s="17" t="str">
        <f t="shared" si="4"/>
        <v/>
      </c>
      <c r="I275" s="17" t="str">
        <f t="array" ref="I275">IF(A275="","",SUMPRODUCT(TRANSPOSE(D275:H275),Inicio!B273:B277))</f>
        <v/>
      </c>
    </row>
    <row r="276" spans="1:9" x14ac:dyDescent="0.3">
      <c r="A276" s="17" t="str">
        <f t="shared" si="4"/>
        <v/>
      </c>
      <c r="I276" s="17" t="str">
        <f t="array" ref="I276">IF(A276="","",SUMPRODUCT(TRANSPOSE(D276:H276),Inicio!B274:B278))</f>
        <v/>
      </c>
    </row>
    <row r="277" spans="1:9" x14ac:dyDescent="0.3">
      <c r="A277" s="17" t="str">
        <f t="shared" si="4"/>
        <v/>
      </c>
      <c r="I277" s="17" t="str">
        <f t="array" ref="I277">IF(A277="","",SUMPRODUCT(TRANSPOSE(D277:H277),Inicio!B275:B279))</f>
        <v/>
      </c>
    </row>
    <row r="278" spans="1:9" x14ac:dyDescent="0.3">
      <c r="A278" s="17" t="str">
        <f t="shared" si="4"/>
        <v/>
      </c>
      <c r="I278" s="17" t="str">
        <f t="array" ref="I278">IF(A278="","",SUMPRODUCT(TRANSPOSE(D278:H278),Inicio!B276:B280))</f>
        <v/>
      </c>
    </row>
    <row r="279" spans="1:9" x14ac:dyDescent="0.3">
      <c r="A279" s="17" t="str">
        <f t="shared" si="4"/>
        <v/>
      </c>
      <c r="I279" s="17" t="str">
        <f t="array" ref="I279">IF(A279="","",SUMPRODUCT(TRANSPOSE(D279:H279),Inicio!B277:B281))</f>
        <v/>
      </c>
    </row>
    <row r="280" spans="1:9" x14ac:dyDescent="0.3">
      <c r="A280" s="17" t="str">
        <f t="shared" si="4"/>
        <v/>
      </c>
      <c r="I280" s="17" t="str">
        <f t="array" ref="I280">IF(A280="","",SUMPRODUCT(TRANSPOSE(D280:H280),Inicio!B278:B282))</f>
        <v/>
      </c>
    </row>
    <row r="281" spans="1:9" x14ac:dyDescent="0.3">
      <c r="A281" s="17" t="str">
        <f t="shared" si="4"/>
        <v/>
      </c>
      <c r="I281" s="17" t="str">
        <f t="array" ref="I281">IF(A281="","",SUMPRODUCT(TRANSPOSE(D281:H281),Inicio!B279:B283))</f>
        <v/>
      </c>
    </row>
    <row r="282" spans="1:9" x14ac:dyDescent="0.3">
      <c r="A282" s="17" t="str">
        <f t="shared" si="4"/>
        <v/>
      </c>
      <c r="I282" s="17" t="str">
        <f t="array" ref="I282">IF(A282="","",SUMPRODUCT(TRANSPOSE(D282:H282),Inicio!B280:B284))</f>
        <v/>
      </c>
    </row>
    <row r="283" spans="1:9" x14ac:dyDescent="0.3">
      <c r="A283" s="17" t="str">
        <f t="shared" si="4"/>
        <v/>
      </c>
      <c r="I283" s="17" t="str">
        <f t="array" ref="I283">IF(A283="","",SUMPRODUCT(TRANSPOSE(D283:H283),Inicio!B281:B285))</f>
        <v/>
      </c>
    </row>
    <row r="284" spans="1:9" x14ac:dyDescent="0.3">
      <c r="A284" s="17" t="str">
        <f t="shared" si="4"/>
        <v/>
      </c>
      <c r="I284" s="17" t="str">
        <f t="array" ref="I284">IF(A284="","",SUMPRODUCT(TRANSPOSE(D284:H284),Inicio!B282:B286))</f>
        <v/>
      </c>
    </row>
    <row r="285" spans="1:9" x14ac:dyDescent="0.3">
      <c r="A285" s="17" t="str">
        <f t="shared" si="4"/>
        <v/>
      </c>
      <c r="I285" s="17" t="str">
        <f t="array" ref="I285">IF(A285="","",SUMPRODUCT(TRANSPOSE(D285:H285),Inicio!B283:B287))</f>
        <v/>
      </c>
    </row>
    <row r="286" spans="1:9" x14ac:dyDescent="0.3">
      <c r="A286" s="17" t="str">
        <f t="shared" si="4"/>
        <v/>
      </c>
      <c r="I286" s="17" t="str">
        <f t="array" ref="I286">IF(A286="","",SUMPRODUCT(TRANSPOSE(D286:H286),Inicio!B284:B288))</f>
        <v/>
      </c>
    </row>
    <row r="287" spans="1:9" x14ac:dyDescent="0.3">
      <c r="A287" s="17" t="str">
        <f t="shared" si="4"/>
        <v/>
      </c>
      <c r="I287" s="17" t="str">
        <f t="array" ref="I287">IF(A287="","",SUMPRODUCT(TRANSPOSE(D287:H287),Inicio!B285:B289))</f>
        <v/>
      </c>
    </row>
    <row r="288" spans="1:9" x14ac:dyDescent="0.3">
      <c r="A288" s="17" t="str">
        <f t="shared" si="4"/>
        <v/>
      </c>
      <c r="I288" s="17" t="str">
        <f t="array" ref="I288">IF(A288="","",SUMPRODUCT(TRANSPOSE(D288:H288),Inicio!B286:B290))</f>
        <v/>
      </c>
    </row>
    <row r="289" spans="1:9" x14ac:dyDescent="0.3">
      <c r="A289" s="17" t="str">
        <f t="shared" si="4"/>
        <v/>
      </c>
      <c r="I289" s="17" t="str">
        <f t="array" ref="I289">IF(A289="","",SUMPRODUCT(TRANSPOSE(D289:H289),Inicio!B287:B291))</f>
        <v/>
      </c>
    </row>
    <row r="290" spans="1:9" x14ac:dyDescent="0.3">
      <c r="A290" s="17" t="str">
        <f t="shared" si="4"/>
        <v/>
      </c>
      <c r="I290" s="17" t="str">
        <f t="array" ref="I290">IF(A290="","",SUMPRODUCT(TRANSPOSE(D290:H290),Inicio!B288:B292))</f>
        <v/>
      </c>
    </row>
    <row r="291" spans="1:9" x14ac:dyDescent="0.3">
      <c r="A291" s="17" t="str">
        <f t="shared" si="4"/>
        <v/>
      </c>
      <c r="I291" s="17" t="str">
        <f t="array" ref="I291">IF(A291="","",SUMPRODUCT(TRANSPOSE(D291:H291),Inicio!B289:B293))</f>
        <v/>
      </c>
    </row>
    <row r="292" spans="1:9" x14ac:dyDescent="0.3">
      <c r="A292" s="17" t="str">
        <f t="shared" si="4"/>
        <v/>
      </c>
      <c r="I292" s="17" t="str">
        <f t="array" ref="I292">IF(A292="","",SUMPRODUCT(TRANSPOSE(D292:H292),Inicio!B290:B294))</f>
        <v/>
      </c>
    </row>
    <row r="293" spans="1:9" x14ac:dyDescent="0.3">
      <c r="A293" s="17" t="str">
        <f t="shared" si="4"/>
        <v/>
      </c>
      <c r="I293" s="17" t="str">
        <f t="array" ref="I293">IF(A293="","",SUMPRODUCT(TRANSPOSE(D293:H293),Inicio!B291:B295))</f>
        <v/>
      </c>
    </row>
    <row r="294" spans="1:9" x14ac:dyDescent="0.3">
      <c r="A294" s="17" t="str">
        <f t="shared" si="4"/>
        <v/>
      </c>
      <c r="I294" s="17" t="str">
        <f t="array" ref="I294">IF(A294="","",SUMPRODUCT(TRANSPOSE(D294:H294),Inicio!B292:B296))</f>
        <v/>
      </c>
    </row>
    <row r="295" spans="1:9" x14ac:dyDescent="0.3">
      <c r="A295" s="17" t="str">
        <f t="shared" si="4"/>
        <v/>
      </c>
      <c r="I295" s="17" t="str">
        <f t="array" ref="I295">IF(A295="","",SUMPRODUCT(TRANSPOSE(D295:H295),Inicio!B293:B297))</f>
        <v/>
      </c>
    </row>
    <row r="296" spans="1:9" x14ac:dyDescent="0.3">
      <c r="A296" s="17" t="str">
        <f t="shared" si="4"/>
        <v/>
      </c>
      <c r="I296" s="17" t="str">
        <f t="array" ref="I296">IF(A296="","",SUMPRODUCT(TRANSPOSE(D296:H296),Inicio!B294:B298))</f>
        <v/>
      </c>
    </row>
    <row r="297" spans="1:9" x14ac:dyDescent="0.3">
      <c r="A297" s="17" t="str">
        <f t="shared" si="4"/>
        <v/>
      </c>
      <c r="I297" s="17" t="str">
        <f t="array" ref="I297">IF(A297="","",SUMPRODUCT(TRANSPOSE(D297:H297),Inicio!B295:B299))</f>
        <v/>
      </c>
    </row>
    <row r="298" spans="1:9" x14ac:dyDescent="0.3">
      <c r="A298" s="17" t="str">
        <f t="shared" si="4"/>
        <v/>
      </c>
      <c r="I298" s="17" t="str">
        <f t="array" ref="I298">IF(A298="","",SUMPRODUCT(TRANSPOSE(D298:H298),Inicio!B296:B300))</f>
        <v/>
      </c>
    </row>
    <row r="299" spans="1:9" x14ac:dyDescent="0.3">
      <c r="A299" s="17" t="str">
        <f t="shared" si="4"/>
        <v/>
      </c>
      <c r="I299" s="17" t="str">
        <f t="array" ref="I299">IF(A299="","",SUMPRODUCT(TRANSPOSE(D299:H299),Inicio!B297:B301))</f>
        <v/>
      </c>
    </row>
    <row r="300" spans="1:9" x14ac:dyDescent="0.3">
      <c r="A300" s="17" t="str">
        <f t="shared" si="4"/>
        <v/>
      </c>
      <c r="I300" s="17" t="str">
        <f t="array" ref="I300">IF(A300="","",SUMPRODUCT(TRANSPOSE(D300:H300),Inicio!B298:B302))</f>
        <v/>
      </c>
    </row>
    <row r="301" spans="1:9" x14ac:dyDescent="0.3">
      <c r="A301" s="17" t="str">
        <f t="shared" si="4"/>
        <v/>
      </c>
      <c r="I301" s="17" t="str">
        <f t="array" ref="I301">IF(A301="","",SUMPRODUCT(TRANSPOSE(D301:H301),Inicio!B299:B303))</f>
        <v/>
      </c>
    </row>
    <row r="302" spans="1:9" x14ac:dyDescent="0.3">
      <c r="A302" s="17" t="str">
        <f t="shared" si="4"/>
        <v/>
      </c>
      <c r="I302" s="17" t="str">
        <f t="array" ref="I302">IF(A302="","",SUMPRODUCT(TRANSPOSE(D302:H302),Inicio!B300:B304))</f>
        <v/>
      </c>
    </row>
    <row r="303" spans="1:9" x14ac:dyDescent="0.3">
      <c r="A303" s="17" t="str">
        <f t="shared" si="4"/>
        <v/>
      </c>
      <c r="I303" s="17" t="str">
        <f t="array" ref="I303">IF(A303="","",SUMPRODUCT(TRANSPOSE(D303:H303),Inicio!B301:B305))</f>
        <v/>
      </c>
    </row>
    <row r="304" spans="1:9" x14ac:dyDescent="0.3">
      <c r="A304" s="17" t="str">
        <f t="shared" si="4"/>
        <v/>
      </c>
      <c r="I304" s="17" t="str">
        <f t="array" ref="I304">IF(A304="","",SUMPRODUCT(TRANSPOSE(D304:H304),Inicio!B302:B306))</f>
        <v/>
      </c>
    </row>
    <row r="305" spans="1:9" x14ac:dyDescent="0.3">
      <c r="A305" s="17" t="str">
        <f t="shared" si="4"/>
        <v/>
      </c>
      <c r="I305" s="17" t="str">
        <f t="array" ref="I305">IF(A305="","",SUMPRODUCT(TRANSPOSE(D305:H305),Inicio!B303:B307))</f>
        <v/>
      </c>
    </row>
    <row r="306" spans="1:9" x14ac:dyDescent="0.3">
      <c r="A306" s="17" t="str">
        <f t="shared" si="4"/>
        <v/>
      </c>
      <c r="I306" s="17" t="str">
        <f t="array" ref="I306">IF(A306="","",SUMPRODUCT(TRANSPOSE(D306:H306),Inicio!B304:B308))</f>
        <v/>
      </c>
    </row>
    <row r="307" spans="1:9" x14ac:dyDescent="0.3">
      <c r="A307" s="17" t="str">
        <f t="shared" si="4"/>
        <v/>
      </c>
      <c r="I307" s="17" t="str">
        <f t="array" ref="I307">IF(A307="","",SUMPRODUCT(TRANSPOSE(D307:H307),Inicio!B305:B309))</f>
        <v/>
      </c>
    </row>
    <row r="308" spans="1:9" x14ac:dyDescent="0.3">
      <c r="A308" s="17" t="str">
        <f t="shared" si="4"/>
        <v/>
      </c>
      <c r="I308" s="17" t="str">
        <f t="array" ref="I308">IF(A308="","",SUMPRODUCT(TRANSPOSE(D308:H308),Inicio!B306:B310))</f>
        <v/>
      </c>
    </row>
    <row r="309" spans="1:9" x14ac:dyDescent="0.3">
      <c r="A309" s="17" t="str">
        <f t="shared" si="4"/>
        <v/>
      </c>
      <c r="I309" s="17" t="str">
        <f t="array" ref="I309">IF(A309="","",SUMPRODUCT(TRANSPOSE(D309:H309),Inicio!B307:B311))</f>
        <v/>
      </c>
    </row>
    <row r="310" spans="1:9" x14ac:dyDescent="0.3">
      <c r="A310" s="17" t="str">
        <f t="shared" si="4"/>
        <v/>
      </c>
      <c r="I310" s="17" t="str">
        <f t="array" ref="I310">IF(A310="","",SUMPRODUCT(TRANSPOSE(D310:H310),Inicio!B308:B312))</f>
        <v/>
      </c>
    </row>
    <row r="311" spans="1:9" x14ac:dyDescent="0.3">
      <c r="A311" s="17" t="str">
        <f t="shared" si="4"/>
        <v/>
      </c>
      <c r="I311" s="17" t="str">
        <f t="array" ref="I311">IF(A311="","",SUMPRODUCT(TRANSPOSE(D311:H311),Inicio!B309:B313))</f>
        <v/>
      </c>
    </row>
    <row r="312" spans="1:9" x14ac:dyDescent="0.3">
      <c r="A312" s="17" t="str">
        <f t="shared" si="4"/>
        <v/>
      </c>
      <c r="I312" s="17" t="str">
        <f t="array" ref="I312">IF(A312="","",SUMPRODUCT(TRANSPOSE(D312:H312),Inicio!B310:B314))</f>
        <v/>
      </c>
    </row>
    <row r="313" spans="1:9" x14ac:dyDescent="0.3">
      <c r="A313" s="17" t="str">
        <f t="shared" si="4"/>
        <v/>
      </c>
      <c r="I313" s="17" t="str">
        <f t="array" ref="I313">IF(A313="","",SUMPRODUCT(TRANSPOSE(D313:H313),Inicio!B311:B315))</f>
        <v/>
      </c>
    </row>
    <row r="314" spans="1:9" x14ac:dyDescent="0.3">
      <c r="A314" s="17" t="str">
        <f t="shared" si="4"/>
        <v/>
      </c>
      <c r="I314" s="17" t="str">
        <f t="array" ref="I314">IF(A314="","",SUMPRODUCT(TRANSPOSE(D314:H314),Inicio!B312:B316))</f>
        <v/>
      </c>
    </row>
    <row r="315" spans="1:9" x14ac:dyDescent="0.3">
      <c r="A315" s="17" t="str">
        <f t="shared" si="4"/>
        <v/>
      </c>
      <c r="I315" s="17" t="str">
        <f t="array" ref="I315">IF(A315="","",SUMPRODUCT(TRANSPOSE(D315:H315),Inicio!B313:B317))</f>
        <v/>
      </c>
    </row>
    <row r="316" spans="1:9" x14ac:dyDescent="0.3">
      <c r="A316" s="17" t="str">
        <f t="shared" si="4"/>
        <v/>
      </c>
      <c r="I316" s="17" t="str">
        <f t="array" ref="I316">IF(A316="","",SUMPRODUCT(TRANSPOSE(D316:H316),Inicio!B314:B318))</f>
        <v/>
      </c>
    </row>
    <row r="317" spans="1:9" x14ac:dyDescent="0.3">
      <c r="A317" s="17" t="str">
        <f t="shared" si="4"/>
        <v/>
      </c>
      <c r="I317" s="17" t="str">
        <f t="array" ref="I317">IF(A317="","",SUMPRODUCT(TRANSPOSE(D317:H317),Inicio!B315:B319))</f>
        <v/>
      </c>
    </row>
    <row r="318" spans="1:9" x14ac:dyDescent="0.3">
      <c r="A318" s="17" t="str">
        <f t="shared" si="4"/>
        <v/>
      </c>
      <c r="I318" s="17" t="str">
        <f t="array" ref="I318">IF(A318="","",SUMPRODUCT(TRANSPOSE(D318:H318),Inicio!B316:B320))</f>
        <v/>
      </c>
    </row>
    <row r="319" spans="1:9" x14ac:dyDescent="0.3">
      <c r="A319" s="17" t="str">
        <f t="shared" si="4"/>
        <v/>
      </c>
      <c r="I319" s="17" t="str">
        <f t="array" ref="I319">IF(A319="","",SUMPRODUCT(TRANSPOSE(D319:H319),Inicio!B317:B321))</f>
        <v/>
      </c>
    </row>
    <row r="320" spans="1:9" x14ac:dyDescent="0.3">
      <c r="A320" s="17" t="str">
        <f t="shared" si="4"/>
        <v/>
      </c>
      <c r="I320" s="17" t="str">
        <f t="array" ref="I320">IF(A320="","",SUMPRODUCT(TRANSPOSE(D320:H320),Inicio!B318:B322))</f>
        <v/>
      </c>
    </row>
    <row r="321" spans="1:9" x14ac:dyDescent="0.3">
      <c r="A321" s="17" t="str">
        <f t="shared" si="4"/>
        <v/>
      </c>
      <c r="I321" s="17" t="str">
        <f t="array" ref="I321">IF(A321="","",SUMPRODUCT(TRANSPOSE(D321:H321),Inicio!B319:B323))</f>
        <v/>
      </c>
    </row>
    <row r="322" spans="1:9" x14ac:dyDescent="0.3">
      <c r="A322" s="17" t="str">
        <f t="shared" si="4"/>
        <v/>
      </c>
      <c r="I322" s="17" t="str">
        <f t="array" ref="I322">IF(A322="","",SUMPRODUCT(TRANSPOSE(D322:H322),Inicio!B320:B324))</f>
        <v/>
      </c>
    </row>
    <row r="323" spans="1:9" x14ac:dyDescent="0.3">
      <c r="A323" s="17" t="str">
        <f t="shared" si="4"/>
        <v/>
      </c>
      <c r="I323" s="17" t="str">
        <f t="array" ref="I323">IF(A323="","",SUMPRODUCT(TRANSPOSE(D323:H323),Inicio!B321:B325))</f>
        <v/>
      </c>
    </row>
    <row r="324" spans="1:9" x14ac:dyDescent="0.3">
      <c r="A324" s="17" t="str">
        <f t="shared" si="4"/>
        <v/>
      </c>
      <c r="I324" s="17" t="str">
        <f t="array" ref="I324">IF(A324="","",SUMPRODUCT(TRANSPOSE(D324:H324),Inicio!B322:B326))</f>
        <v/>
      </c>
    </row>
    <row r="325" spans="1:9" x14ac:dyDescent="0.3">
      <c r="A325" s="17" t="str">
        <f t="shared" ref="A325:A388" si="5">IF(IFERROR(YEAR(B325),2000+RIGHT(B325,2))=1900,"",IFERROR(YEAR(B325),2000+RIGHT(B325,2)))</f>
        <v/>
      </c>
      <c r="I325" s="17" t="str">
        <f t="array" ref="I325">IF(A325="","",SUMPRODUCT(TRANSPOSE(D325:H325),Inicio!B323:B327))</f>
        <v/>
      </c>
    </row>
    <row r="326" spans="1:9" x14ac:dyDescent="0.3">
      <c r="A326" s="17" t="str">
        <f t="shared" si="5"/>
        <v/>
      </c>
      <c r="I326" s="17" t="str">
        <f t="array" ref="I326">IF(A326="","",SUMPRODUCT(TRANSPOSE(D326:H326),Inicio!B324:B328))</f>
        <v/>
      </c>
    </row>
    <row r="327" spans="1:9" x14ac:dyDescent="0.3">
      <c r="A327" s="17" t="str">
        <f t="shared" si="5"/>
        <v/>
      </c>
      <c r="I327" s="17" t="str">
        <f t="array" ref="I327">IF(A327="","",SUMPRODUCT(TRANSPOSE(D327:H327),Inicio!B325:B329))</f>
        <v/>
      </c>
    </row>
    <row r="328" spans="1:9" x14ac:dyDescent="0.3">
      <c r="A328" s="17" t="str">
        <f t="shared" si="5"/>
        <v/>
      </c>
      <c r="I328" s="17" t="str">
        <f t="array" ref="I328">IF(A328="","",SUMPRODUCT(TRANSPOSE(D328:H328),Inicio!B326:B330))</f>
        <v/>
      </c>
    </row>
    <row r="329" spans="1:9" x14ac:dyDescent="0.3">
      <c r="A329" s="17" t="str">
        <f t="shared" si="5"/>
        <v/>
      </c>
      <c r="I329" s="17" t="str">
        <f t="array" ref="I329">IF(A329="","",SUMPRODUCT(TRANSPOSE(D329:H329),Inicio!B327:B331))</f>
        <v/>
      </c>
    </row>
    <row r="330" spans="1:9" x14ac:dyDescent="0.3">
      <c r="A330" s="17" t="str">
        <f t="shared" si="5"/>
        <v/>
      </c>
      <c r="I330" s="17" t="str">
        <f t="array" ref="I330">IF(A330="","",SUMPRODUCT(TRANSPOSE(D330:H330),Inicio!B328:B332))</f>
        <v/>
      </c>
    </row>
    <row r="331" spans="1:9" x14ac:dyDescent="0.3">
      <c r="A331" s="17" t="str">
        <f t="shared" si="5"/>
        <v/>
      </c>
      <c r="I331" s="17" t="str">
        <f t="array" ref="I331">IF(A331="","",SUMPRODUCT(TRANSPOSE(D331:H331),Inicio!B329:B333))</f>
        <v/>
      </c>
    </row>
    <row r="332" spans="1:9" x14ac:dyDescent="0.3">
      <c r="A332" s="17" t="str">
        <f t="shared" si="5"/>
        <v/>
      </c>
      <c r="I332" s="17" t="str">
        <f t="array" ref="I332">IF(A332="","",SUMPRODUCT(TRANSPOSE(D332:H332),Inicio!B330:B334))</f>
        <v/>
      </c>
    </row>
    <row r="333" spans="1:9" x14ac:dyDescent="0.3">
      <c r="A333" s="17" t="str">
        <f t="shared" si="5"/>
        <v/>
      </c>
      <c r="I333" s="17" t="str">
        <f t="array" ref="I333">IF(A333="","",SUMPRODUCT(TRANSPOSE(D333:H333),Inicio!B331:B335))</f>
        <v/>
      </c>
    </row>
    <row r="334" spans="1:9" x14ac:dyDescent="0.3">
      <c r="A334" s="17" t="str">
        <f t="shared" si="5"/>
        <v/>
      </c>
      <c r="I334" s="17" t="str">
        <f t="array" ref="I334">IF(A334="","",SUMPRODUCT(TRANSPOSE(D334:H334),Inicio!B332:B336))</f>
        <v/>
      </c>
    </row>
    <row r="335" spans="1:9" x14ac:dyDescent="0.3">
      <c r="A335" s="17" t="str">
        <f t="shared" si="5"/>
        <v/>
      </c>
      <c r="I335" s="17" t="str">
        <f t="array" ref="I335">IF(A335="","",SUMPRODUCT(TRANSPOSE(D335:H335),Inicio!B333:B337))</f>
        <v/>
      </c>
    </row>
    <row r="336" spans="1:9" x14ac:dyDescent="0.3">
      <c r="A336" s="17" t="str">
        <f t="shared" si="5"/>
        <v/>
      </c>
      <c r="I336" s="17" t="str">
        <f t="array" ref="I336">IF(A336="","",SUMPRODUCT(TRANSPOSE(D336:H336),Inicio!B334:B338))</f>
        <v/>
      </c>
    </row>
    <row r="337" spans="1:9" x14ac:dyDescent="0.3">
      <c r="A337" s="17" t="str">
        <f t="shared" si="5"/>
        <v/>
      </c>
      <c r="I337" s="17" t="str">
        <f t="array" ref="I337">IF(A337="","",SUMPRODUCT(TRANSPOSE(D337:H337),Inicio!B335:B339))</f>
        <v/>
      </c>
    </row>
    <row r="338" spans="1:9" x14ac:dyDescent="0.3">
      <c r="A338" s="17" t="str">
        <f t="shared" si="5"/>
        <v/>
      </c>
      <c r="I338" s="17" t="str">
        <f t="array" ref="I338">IF(A338="","",SUMPRODUCT(TRANSPOSE(D338:H338),Inicio!B336:B340))</f>
        <v/>
      </c>
    </row>
    <row r="339" spans="1:9" x14ac:dyDescent="0.3">
      <c r="A339" s="17" t="str">
        <f t="shared" si="5"/>
        <v/>
      </c>
      <c r="I339" s="17" t="str">
        <f t="array" ref="I339">IF(A339="","",SUMPRODUCT(TRANSPOSE(D339:H339),Inicio!B337:B341))</f>
        <v/>
      </c>
    </row>
    <row r="340" spans="1:9" x14ac:dyDescent="0.3">
      <c r="A340" s="17" t="str">
        <f t="shared" si="5"/>
        <v/>
      </c>
      <c r="I340" s="17" t="str">
        <f t="array" ref="I340">IF(A340="","",SUMPRODUCT(TRANSPOSE(D340:H340),Inicio!B338:B342))</f>
        <v/>
      </c>
    </row>
    <row r="341" spans="1:9" x14ac:dyDescent="0.3">
      <c r="A341" s="17" t="str">
        <f t="shared" si="5"/>
        <v/>
      </c>
      <c r="I341" s="17" t="str">
        <f t="array" ref="I341">IF(A341="","",SUMPRODUCT(TRANSPOSE(D341:H341),Inicio!B339:B343))</f>
        <v/>
      </c>
    </row>
    <row r="342" spans="1:9" x14ac:dyDescent="0.3">
      <c r="A342" s="17" t="str">
        <f t="shared" si="5"/>
        <v/>
      </c>
      <c r="I342" s="17" t="str">
        <f t="array" ref="I342">IF(A342="","",SUMPRODUCT(TRANSPOSE(D342:H342),Inicio!B340:B344))</f>
        <v/>
      </c>
    </row>
    <row r="343" spans="1:9" x14ac:dyDescent="0.3">
      <c r="A343" s="17" t="str">
        <f t="shared" si="5"/>
        <v/>
      </c>
      <c r="I343" s="17" t="str">
        <f t="array" ref="I343">IF(A343="","",SUMPRODUCT(TRANSPOSE(D343:H343),Inicio!B341:B345))</f>
        <v/>
      </c>
    </row>
    <row r="344" spans="1:9" x14ac:dyDescent="0.3">
      <c r="A344" s="17" t="str">
        <f t="shared" si="5"/>
        <v/>
      </c>
      <c r="I344" s="17" t="str">
        <f t="array" ref="I344">IF(A344="","",SUMPRODUCT(TRANSPOSE(D344:H344),Inicio!B342:B346))</f>
        <v/>
      </c>
    </row>
    <row r="345" spans="1:9" x14ac:dyDescent="0.3">
      <c r="A345" s="17" t="str">
        <f t="shared" si="5"/>
        <v/>
      </c>
      <c r="I345" s="17" t="str">
        <f t="array" ref="I345">IF(A345="","",SUMPRODUCT(TRANSPOSE(D345:H345),Inicio!B343:B347))</f>
        <v/>
      </c>
    </row>
    <row r="346" spans="1:9" x14ac:dyDescent="0.3">
      <c r="A346" s="17" t="str">
        <f t="shared" si="5"/>
        <v/>
      </c>
      <c r="I346" s="17" t="str">
        <f t="array" ref="I346">IF(A346="","",SUMPRODUCT(TRANSPOSE(D346:H346),Inicio!B344:B348))</f>
        <v/>
      </c>
    </row>
    <row r="347" spans="1:9" x14ac:dyDescent="0.3">
      <c r="A347" s="17" t="str">
        <f t="shared" si="5"/>
        <v/>
      </c>
      <c r="I347" s="17" t="str">
        <f t="array" ref="I347">IF(A347="","",SUMPRODUCT(TRANSPOSE(D347:H347),Inicio!B345:B349))</f>
        <v/>
      </c>
    </row>
    <row r="348" spans="1:9" x14ac:dyDescent="0.3">
      <c r="A348" s="17" t="str">
        <f t="shared" si="5"/>
        <v/>
      </c>
      <c r="I348" s="17" t="str">
        <f t="array" ref="I348">IF(A348="","",SUMPRODUCT(TRANSPOSE(D348:H348),Inicio!B346:B350))</f>
        <v/>
      </c>
    </row>
    <row r="349" spans="1:9" x14ac:dyDescent="0.3">
      <c r="A349" s="17" t="str">
        <f t="shared" si="5"/>
        <v/>
      </c>
      <c r="I349" s="17" t="str">
        <f t="array" ref="I349">IF(A349="","",SUMPRODUCT(TRANSPOSE(D349:H349),Inicio!B347:B351))</f>
        <v/>
      </c>
    </row>
    <row r="350" spans="1:9" x14ac:dyDescent="0.3">
      <c r="A350" s="17" t="str">
        <f t="shared" si="5"/>
        <v/>
      </c>
      <c r="I350" s="17" t="str">
        <f t="array" ref="I350">IF(A350="","",SUMPRODUCT(TRANSPOSE(D350:H350),Inicio!B348:B352))</f>
        <v/>
      </c>
    </row>
    <row r="351" spans="1:9" x14ac:dyDescent="0.3">
      <c r="A351" s="17" t="str">
        <f t="shared" si="5"/>
        <v/>
      </c>
      <c r="I351" s="17" t="str">
        <f t="array" ref="I351">IF(A351="","",SUMPRODUCT(TRANSPOSE(D351:H351),Inicio!B349:B353))</f>
        <v/>
      </c>
    </row>
    <row r="352" spans="1:9" x14ac:dyDescent="0.3">
      <c r="A352" s="17" t="str">
        <f t="shared" si="5"/>
        <v/>
      </c>
      <c r="I352" s="17" t="str">
        <f t="array" ref="I352">IF(A352="","",SUMPRODUCT(TRANSPOSE(D352:H352),Inicio!B350:B354))</f>
        <v/>
      </c>
    </row>
    <row r="353" spans="1:9" x14ac:dyDescent="0.3">
      <c r="A353" s="17" t="str">
        <f t="shared" si="5"/>
        <v/>
      </c>
      <c r="I353" s="17" t="str">
        <f t="array" ref="I353">IF(A353="","",SUMPRODUCT(TRANSPOSE(D353:H353),Inicio!B351:B355))</f>
        <v/>
      </c>
    </row>
    <row r="354" spans="1:9" x14ac:dyDescent="0.3">
      <c r="A354" s="17" t="str">
        <f t="shared" si="5"/>
        <v/>
      </c>
      <c r="I354" s="17" t="str">
        <f t="array" ref="I354">IF(A354="","",SUMPRODUCT(TRANSPOSE(D354:H354),Inicio!B352:B356))</f>
        <v/>
      </c>
    </row>
    <row r="355" spans="1:9" x14ac:dyDescent="0.3">
      <c r="A355" s="17" t="str">
        <f t="shared" si="5"/>
        <v/>
      </c>
      <c r="I355" s="17" t="str">
        <f t="array" ref="I355">IF(A355="","",SUMPRODUCT(TRANSPOSE(D355:H355),Inicio!B353:B357))</f>
        <v/>
      </c>
    </row>
    <row r="356" spans="1:9" x14ac:dyDescent="0.3">
      <c r="A356" s="17" t="str">
        <f t="shared" si="5"/>
        <v/>
      </c>
      <c r="I356" s="17" t="str">
        <f t="array" ref="I356">IF(A356="","",SUMPRODUCT(TRANSPOSE(D356:H356),Inicio!B354:B358))</f>
        <v/>
      </c>
    </row>
    <row r="357" spans="1:9" x14ac:dyDescent="0.3">
      <c r="A357" s="17" t="str">
        <f t="shared" si="5"/>
        <v/>
      </c>
      <c r="I357" s="17" t="str">
        <f t="array" ref="I357">IF(A357="","",SUMPRODUCT(TRANSPOSE(D357:H357),Inicio!B355:B359))</f>
        <v/>
      </c>
    </row>
    <row r="358" spans="1:9" x14ac:dyDescent="0.3">
      <c r="A358" s="17" t="str">
        <f t="shared" si="5"/>
        <v/>
      </c>
      <c r="I358" s="17" t="str">
        <f t="array" ref="I358">IF(A358="","",SUMPRODUCT(TRANSPOSE(D358:H358),Inicio!B356:B360))</f>
        <v/>
      </c>
    </row>
    <row r="359" spans="1:9" x14ac:dyDescent="0.3">
      <c r="A359" s="17" t="str">
        <f t="shared" si="5"/>
        <v/>
      </c>
      <c r="I359" s="17" t="str">
        <f t="array" ref="I359">IF(A359="","",SUMPRODUCT(TRANSPOSE(D359:H359),Inicio!B357:B361))</f>
        <v/>
      </c>
    </row>
    <row r="360" spans="1:9" x14ac:dyDescent="0.3">
      <c r="A360" s="17" t="str">
        <f t="shared" si="5"/>
        <v/>
      </c>
      <c r="I360" s="17" t="str">
        <f t="array" ref="I360">IF(A360="","",SUMPRODUCT(TRANSPOSE(D360:H360),Inicio!B358:B362))</f>
        <v/>
      </c>
    </row>
    <row r="361" spans="1:9" x14ac:dyDescent="0.3">
      <c r="A361" s="17" t="str">
        <f t="shared" si="5"/>
        <v/>
      </c>
      <c r="I361" s="17" t="str">
        <f t="array" ref="I361">IF(A361="","",SUMPRODUCT(TRANSPOSE(D361:H361),Inicio!B359:B363))</f>
        <v/>
      </c>
    </row>
    <row r="362" spans="1:9" x14ac:dyDescent="0.3">
      <c r="A362" s="17" t="str">
        <f t="shared" si="5"/>
        <v/>
      </c>
      <c r="I362" s="17" t="str">
        <f t="array" ref="I362">IF(A362="","",SUMPRODUCT(TRANSPOSE(D362:H362),Inicio!B360:B364))</f>
        <v/>
      </c>
    </row>
    <row r="363" spans="1:9" x14ac:dyDescent="0.3">
      <c r="A363" s="17" t="str">
        <f t="shared" si="5"/>
        <v/>
      </c>
      <c r="I363" s="17" t="str">
        <f t="array" ref="I363">IF(A363="","",SUMPRODUCT(TRANSPOSE(D363:H363),Inicio!B361:B365))</f>
        <v/>
      </c>
    </row>
    <row r="364" spans="1:9" x14ac:dyDescent="0.3">
      <c r="A364" s="17" t="str">
        <f t="shared" si="5"/>
        <v/>
      </c>
      <c r="I364" s="17" t="str">
        <f t="array" ref="I364">IF(A364="","",SUMPRODUCT(TRANSPOSE(D364:H364),Inicio!B362:B366))</f>
        <v/>
      </c>
    </row>
    <row r="365" spans="1:9" x14ac:dyDescent="0.3">
      <c r="A365" s="17" t="str">
        <f t="shared" si="5"/>
        <v/>
      </c>
      <c r="I365" s="17" t="str">
        <f t="array" ref="I365">IF(A365="","",SUMPRODUCT(TRANSPOSE(D365:H365),Inicio!B363:B367))</f>
        <v/>
      </c>
    </row>
    <row r="366" spans="1:9" x14ac:dyDescent="0.3">
      <c r="A366" s="17" t="str">
        <f t="shared" si="5"/>
        <v/>
      </c>
      <c r="I366" s="17" t="str">
        <f t="array" ref="I366">IF(A366="","",SUMPRODUCT(TRANSPOSE(D366:H366),Inicio!B364:B368))</f>
        <v/>
      </c>
    </row>
    <row r="367" spans="1:9" x14ac:dyDescent="0.3">
      <c r="A367" s="17" t="str">
        <f t="shared" si="5"/>
        <v/>
      </c>
      <c r="I367" s="17" t="str">
        <f t="array" ref="I367">IF(A367="","",SUMPRODUCT(TRANSPOSE(D367:H367),Inicio!B365:B369))</f>
        <v/>
      </c>
    </row>
    <row r="368" spans="1:9" x14ac:dyDescent="0.3">
      <c r="A368" s="17" t="str">
        <f t="shared" si="5"/>
        <v/>
      </c>
      <c r="I368" s="17" t="str">
        <f t="array" ref="I368">IF(A368="","",SUMPRODUCT(TRANSPOSE(D368:H368),Inicio!B366:B370))</f>
        <v/>
      </c>
    </row>
    <row r="369" spans="1:9" x14ac:dyDescent="0.3">
      <c r="A369" s="17" t="str">
        <f t="shared" si="5"/>
        <v/>
      </c>
      <c r="I369" s="17" t="str">
        <f t="array" ref="I369">IF(A369="","",SUMPRODUCT(TRANSPOSE(D369:H369),Inicio!B367:B371))</f>
        <v/>
      </c>
    </row>
    <row r="370" spans="1:9" x14ac:dyDescent="0.3">
      <c r="A370" s="17" t="str">
        <f t="shared" si="5"/>
        <v/>
      </c>
      <c r="I370" s="17" t="str">
        <f t="array" ref="I370">IF(A370="","",SUMPRODUCT(TRANSPOSE(D370:H370),Inicio!B368:B372))</f>
        <v/>
      </c>
    </row>
    <row r="371" spans="1:9" x14ac:dyDescent="0.3">
      <c r="A371" s="17" t="str">
        <f t="shared" si="5"/>
        <v/>
      </c>
      <c r="I371" s="17" t="str">
        <f t="array" ref="I371">IF(A371="","",SUMPRODUCT(TRANSPOSE(D371:H371),Inicio!B369:B373))</f>
        <v/>
      </c>
    </row>
    <row r="372" spans="1:9" x14ac:dyDescent="0.3">
      <c r="A372" s="17" t="str">
        <f t="shared" si="5"/>
        <v/>
      </c>
      <c r="I372" s="17" t="str">
        <f t="array" ref="I372">IF(A372="","",SUMPRODUCT(TRANSPOSE(D372:H372),Inicio!B370:B374))</f>
        <v/>
      </c>
    </row>
    <row r="373" spans="1:9" x14ac:dyDescent="0.3">
      <c r="A373" s="17" t="str">
        <f t="shared" si="5"/>
        <v/>
      </c>
      <c r="I373" s="17" t="str">
        <f t="array" ref="I373">IF(A373="","",SUMPRODUCT(TRANSPOSE(D373:H373),Inicio!B371:B375))</f>
        <v/>
      </c>
    </row>
    <row r="374" spans="1:9" x14ac:dyDescent="0.3">
      <c r="A374" s="17" t="str">
        <f t="shared" si="5"/>
        <v/>
      </c>
      <c r="I374" s="17" t="str">
        <f t="array" ref="I374">IF(A374="","",SUMPRODUCT(TRANSPOSE(D374:H374),Inicio!B372:B376))</f>
        <v/>
      </c>
    </row>
    <row r="375" spans="1:9" x14ac:dyDescent="0.3">
      <c r="A375" s="17" t="str">
        <f t="shared" si="5"/>
        <v/>
      </c>
      <c r="I375" s="17" t="str">
        <f t="array" ref="I375">IF(A375="","",SUMPRODUCT(TRANSPOSE(D375:H375),Inicio!B373:B377))</f>
        <v/>
      </c>
    </row>
    <row r="376" spans="1:9" x14ac:dyDescent="0.3">
      <c r="A376" s="17" t="str">
        <f t="shared" si="5"/>
        <v/>
      </c>
      <c r="I376" s="17" t="str">
        <f t="array" ref="I376">IF(A376="","",SUMPRODUCT(TRANSPOSE(D376:H376),Inicio!B374:B378))</f>
        <v/>
      </c>
    </row>
    <row r="377" spans="1:9" x14ac:dyDescent="0.3">
      <c r="A377" s="17" t="str">
        <f t="shared" si="5"/>
        <v/>
      </c>
      <c r="I377" s="17" t="str">
        <f t="array" ref="I377">IF(A377="","",SUMPRODUCT(TRANSPOSE(D377:H377),Inicio!B375:B379))</f>
        <v/>
      </c>
    </row>
    <row r="378" spans="1:9" x14ac:dyDescent="0.3">
      <c r="A378" s="17" t="str">
        <f t="shared" si="5"/>
        <v/>
      </c>
      <c r="I378" s="17" t="str">
        <f t="array" ref="I378">IF(A378="","",SUMPRODUCT(TRANSPOSE(D378:H378),Inicio!B376:B380))</f>
        <v/>
      </c>
    </row>
    <row r="379" spans="1:9" x14ac:dyDescent="0.3">
      <c r="A379" s="17" t="str">
        <f t="shared" si="5"/>
        <v/>
      </c>
      <c r="I379" s="17" t="str">
        <f t="array" ref="I379">IF(A379="","",SUMPRODUCT(TRANSPOSE(D379:H379),Inicio!B377:B381))</f>
        <v/>
      </c>
    </row>
    <row r="380" spans="1:9" x14ac:dyDescent="0.3">
      <c r="A380" s="17" t="str">
        <f t="shared" si="5"/>
        <v/>
      </c>
      <c r="I380" s="17" t="str">
        <f t="array" ref="I380">IF(A380="","",SUMPRODUCT(TRANSPOSE(D380:H380),Inicio!B378:B382))</f>
        <v/>
      </c>
    </row>
    <row r="381" spans="1:9" x14ac:dyDescent="0.3">
      <c r="A381" s="17" t="str">
        <f t="shared" si="5"/>
        <v/>
      </c>
      <c r="I381" s="17" t="str">
        <f t="array" ref="I381">IF(A381="","",SUMPRODUCT(TRANSPOSE(D381:H381),Inicio!B379:B383))</f>
        <v/>
      </c>
    </row>
    <row r="382" spans="1:9" x14ac:dyDescent="0.3">
      <c r="A382" s="17" t="str">
        <f t="shared" si="5"/>
        <v/>
      </c>
      <c r="I382" s="17" t="str">
        <f t="array" ref="I382">IF(A382="","",SUMPRODUCT(TRANSPOSE(D382:H382),Inicio!B380:B384))</f>
        <v/>
      </c>
    </row>
    <row r="383" spans="1:9" x14ac:dyDescent="0.3">
      <c r="A383" s="17" t="str">
        <f t="shared" si="5"/>
        <v/>
      </c>
      <c r="I383" s="17" t="str">
        <f t="array" ref="I383">IF(A383="","",SUMPRODUCT(TRANSPOSE(D383:H383),Inicio!B381:B385))</f>
        <v/>
      </c>
    </row>
    <row r="384" spans="1:9" x14ac:dyDescent="0.3">
      <c r="A384" s="17" t="str">
        <f t="shared" si="5"/>
        <v/>
      </c>
      <c r="I384" s="17" t="str">
        <f t="array" ref="I384">IF(A384="","",SUMPRODUCT(TRANSPOSE(D384:H384),Inicio!B382:B386))</f>
        <v/>
      </c>
    </row>
    <row r="385" spans="1:9" x14ac:dyDescent="0.3">
      <c r="A385" s="17" t="str">
        <f t="shared" si="5"/>
        <v/>
      </c>
      <c r="I385" s="17" t="str">
        <f t="array" ref="I385">IF(A385="","",SUMPRODUCT(TRANSPOSE(D385:H385),Inicio!B383:B387))</f>
        <v/>
      </c>
    </row>
    <row r="386" spans="1:9" x14ac:dyDescent="0.3">
      <c r="A386" s="17" t="str">
        <f t="shared" si="5"/>
        <v/>
      </c>
      <c r="I386" s="17" t="str">
        <f t="array" ref="I386">IF(A386="","",SUMPRODUCT(TRANSPOSE(D386:H386),Inicio!B384:B388))</f>
        <v/>
      </c>
    </row>
    <row r="387" spans="1:9" x14ac:dyDescent="0.3">
      <c r="A387" s="17" t="str">
        <f t="shared" si="5"/>
        <v/>
      </c>
      <c r="I387" s="17" t="str">
        <f t="array" ref="I387">IF(A387="","",SUMPRODUCT(TRANSPOSE(D387:H387),Inicio!B385:B389))</f>
        <v/>
      </c>
    </row>
    <row r="388" spans="1:9" x14ac:dyDescent="0.3">
      <c r="A388" s="17" t="str">
        <f t="shared" si="5"/>
        <v/>
      </c>
      <c r="I388" s="17" t="str">
        <f t="array" ref="I388">IF(A388="","",SUMPRODUCT(TRANSPOSE(D388:H388),Inicio!B386:B390))</f>
        <v/>
      </c>
    </row>
    <row r="389" spans="1:9" x14ac:dyDescent="0.3">
      <c r="A389" s="17" t="str">
        <f t="shared" ref="A389:A452" si="6">IF(IFERROR(YEAR(B389),2000+RIGHT(B389,2))=1900,"",IFERROR(YEAR(B389),2000+RIGHT(B389,2)))</f>
        <v/>
      </c>
      <c r="I389" s="17" t="str">
        <f t="array" ref="I389">IF(A389="","",SUMPRODUCT(TRANSPOSE(D389:H389),Inicio!B387:B391))</f>
        <v/>
      </c>
    </row>
    <row r="390" spans="1:9" x14ac:dyDescent="0.3">
      <c r="A390" s="17" t="str">
        <f t="shared" si="6"/>
        <v/>
      </c>
      <c r="I390" s="17" t="str">
        <f t="array" ref="I390">IF(A390="","",SUMPRODUCT(TRANSPOSE(D390:H390),Inicio!B388:B392))</f>
        <v/>
      </c>
    </row>
    <row r="391" spans="1:9" x14ac:dyDescent="0.3">
      <c r="A391" s="17" t="str">
        <f t="shared" si="6"/>
        <v/>
      </c>
      <c r="I391" s="17" t="str">
        <f t="array" ref="I391">IF(A391="","",SUMPRODUCT(TRANSPOSE(D391:H391),Inicio!B389:B393))</f>
        <v/>
      </c>
    </row>
    <row r="392" spans="1:9" x14ac:dyDescent="0.3">
      <c r="A392" s="17" t="str">
        <f t="shared" si="6"/>
        <v/>
      </c>
      <c r="I392" s="17" t="str">
        <f t="array" ref="I392">IF(A392="","",SUMPRODUCT(TRANSPOSE(D392:H392),Inicio!B390:B394))</f>
        <v/>
      </c>
    </row>
    <row r="393" spans="1:9" x14ac:dyDescent="0.3">
      <c r="A393" s="17" t="str">
        <f t="shared" si="6"/>
        <v/>
      </c>
      <c r="I393" s="17" t="str">
        <f t="array" ref="I393">IF(A393="","",SUMPRODUCT(TRANSPOSE(D393:H393),Inicio!B391:B395))</f>
        <v/>
      </c>
    </row>
    <row r="394" spans="1:9" x14ac:dyDescent="0.3">
      <c r="A394" s="17" t="str">
        <f t="shared" si="6"/>
        <v/>
      </c>
      <c r="I394" s="17" t="str">
        <f t="array" ref="I394">IF(A394="","",SUMPRODUCT(TRANSPOSE(D394:H394),Inicio!B392:B396))</f>
        <v/>
      </c>
    </row>
    <row r="395" spans="1:9" x14ac:dyDescent="0.3">
      <c r="A395" s="17" t="str">
        <f t="shared" si="6"/>
        <v/>
      </c>
      <c r="I395" s="17" t="str">
        <f t="array" ref="I395">IF(A395="","",SUMPRODUCT(TRANSPOSE(D395:H395),Inicio!B393:B397))</f>
        <v/>
      </c>
    </row>
    <row r="396" spans="1:9" x14ac:dyDescent="0.3">
      <c r="A396" s="17" t="str">
        <f t="shared" si="6"/>
        <v/>
      </c>
      <c r="I396" s="17" t="str">
        <f t="array" ref="I396">IF(A396="","",SUMPRODUCT(TRANSPOSE(D396:H396),Inicio!B394:B398))</f>
        <v/>
      </c>
    </row>
    <row r="397" spans="1:9" x14ac:dyDescent="0.3">
      <c r="A397" s="17" t="str">
        <f t="shared" si="6"/>
        <v/>
      </c>
      <c r="I397" s="17" t="str">
        <f t="array" ref="I397">IF(A397="","",SUMPRODUCT(TRANSPOSE(D397:H397),Inicio!B395:B399))</f>
        <v/>
      </c>
    </row>
    <row r="398" spans="1:9" x14ac:dyDescent="0.3">
      <c r="A398" s="17" t="str">
        <f t="shared" si="6"/>
        <v/>
      </c>
      <c r="I398" s="17" t="str">
        <f t="array" ref="I398">IF(A398="","",SUMPRODUCT(TRANSPOSE(D398:H398),Inicio!B396:B400))</f>
        <v/>
      </c>
    </row>
    <row r="399" spans="1:9" x14ac:dyDescent="0.3">
      <c r="A399" s="17" t="str">
        <f t="shared" si="6"/>
        <v/>
      </c>
      <c r="I399" s="17" t="str">
        <f t="array" ref="I399">IF(A399="","",SUMPRODUCT(TRANSPOSE(D399:H399),Inicio!B397:B401))</f>
        <v/>
      </c>
    </row>
    <row r="400" spans="1:9" x14ac:dyDescent="0.3">
      <c r="A400" s="17" t="str">
        <f t="shared" si="6"/>
        <v/>
      </c>
      <c r="I400" s="17" t="str">
        <f t="array" ref="I400">IF(A400="","",SUMPRODUCT(TRANSPOSE(D400:H400),Inicio!B398:B402))</f>
        <v/>
      </c>
    </row>
    <row r="401" spans="1:9" x14ac:dyDescent="0.3">
      <c r="A401" s="17" t="str">
        <f t="shared" si="6"/>
        <v/>
      </c>
      <c r="I401" s="17" t="str">
        <f t="array" ref="I401">IF(A401="","",SUMPRODUCT(TRANSPOSE(D401:H401),Inicio!B399:B403))</f>
        <v/>
      </c>
    </row>
    <row r="402" spans="1:9" x14ac:dyDescent="0.3">
      <c r="A402" s="17" t="str">
        <f t="shared" si="6"/>
        <v/>
      </c>
      <c r="I402" s="17" t="str">
        <f t="array" ref="I402">IF(A402="","",SUMPRODUCT(TRANSPOSE(D402:H402),Inicio!B400:B404))</f>
        <v/>
      </c>
    </row>
    <row r="403" spans="1:9" x14ac:dyDescent="0.3">
      <c r="A403" s="17" t="str">
        <f t="shared" si="6"/>
        <v/>
      </c>
      <c r="I403" s="17" t="str">
        <f t="array" ref="I403">IF(A403="","",SUMPRODUCT(TRANSPOSE(D403:H403),Inicio!B401:B405))</f>
        <v/>
      </c>
    </row>
    <row r="404" spans="1:9" x14ac:dyDescent="0.3">
      <c r="A404" s="17" t="str">
        <f t="shared" si="6"/>
        <v/>
      </c>
      <c r="I404" s="17" t="str">
        <f t="array" ref="I404">IF(A404="","",SUMPRODUCT(TRANSPOSE(D404:H404),Inicio!B402:B406))</f>
        <v/>
      </c>
    </row>
    <row r="405" spans="1:9" x14ac:dyDescent="0.3">
      <c r="A405" s="17" t="str">
        <f t="shared" si="6"/>
        <v/>
      </c>
      <c r="I405" s="17" t="str">
        <f t="array" ref="I405">IF(A405="","",SUMPRODUCT(TRANSPOSE(D405:H405),Inicio!B403:B407))</f>
        <v/>
      </c>
    </row>
    <row r="406" spans="1:9" x14ac:dyDescent="0.3">
      <c r="A406" s="17" t="str">
        <f t="shared" si="6"/>
        <v/>
      </c>
      <c r="I406" s="17" t="str">
        <f t="array" ref="I406">IF(A406="","",SUMPRODUCT(TRANSPOSE(D406:H406),Inicio!B404:B408))</f>
        <v/>
      </c>
    </row>
    <row r="407" spans="1:9" x14ac:dyDescent="0.3">
      <c r="A407" s="17" t="str">
        <f t="shared" si="6"/>
        <v/>
      </c>
      <c r="I407" s="17" t="str">
        <f t="array" ref="I407">IF(A407="","",SUMPRODUCT(TRANSPOSE(D407:H407),Inicio!B405:B409))</f>
        <v/>
      </c>
    </row>
    <row r="408" spans="1:9" x14ac:dyDescent="0.3">
      <c r="A408" s="17" t="str">
        <f t="shared" si="6"/>
        <v/>
      </c>
      <c r="I408" s="17" t="str">
        <f t="array" ref="I408">IF(A408="","",SUMPRODUCT(TRANSPOSE(D408:H408),Inicio!B406:B410))</f>
        <v/>
      </c>
    </row>
    <row r="409" spans="1:9" x14ac:dyDescent="0.3">
      <c r="A409" s="17" t="str">
        <f t="shared" si="6"/>
        <v/>
      </c>
      <c r="I409" s="17" t="str">
        <f t="array" ref="I409">IF(A409="","",SUMPRODUCT(TRANSPOSE(D409:H409),Inicio!B407:B411))</f>
        <v/>
      </c>
    </row>
    <row r="410" spans="1:9" x14ac:dyDescent="0.3">
      <c r="A410" s="17" t="str">
        <f t="shared" si="6"/>
        <v/>
      </c>
      <c r="I410" s="17" t="str">
        <f t="array" ref="I410">IF(A410="","",SUMPRODUCT(TRANSPOSE(D410:H410),Inicio!B408:B412))</f>
        <v/>
      </c>
    </row>
    <row r="411" spans="1:9" x14ac:dyDescent="0.3">
      <c r="A411" s="17" t="str">
        <f t="shared" si="6"/>
        <v/>
      </c>
      <c r="I411" s="17" t="str">
        <f t="array" ref="I411">IF(A411="","",SUMPRODUCT(TRANSPOSE(D411:H411),Inicio!B409:B413))</f>
        <v/>
      </c>
    </row>
    <row r="412" spans="1:9" x14ac:dyDescent="0.3">
      <c r="A412" s="17" t="str">
        <f t="shared" si="6"/>
        <v/>
      </c>
      <c r="I412" s="17" t="str">
        <f t="array" ref="I412">IF(A412="","",SUMPRODUCT(TRANSPOSE(D412:H412),Inicio!B410:B414))</f>
        <v/>
      </c>
    </row>
    <row r="413" spans="1:9" x14ac:dyDescent="0.3">
      <c r="A413" s="17" t="str">
        <f t="shared" si="6"/>
        <v/>
      </c>
      <c r="I413" s="17" t="str">
        <f t="array" ref="I413">IF(A413="","",SUMPRODUCT(TRANSPOSE(D413:H413),Inicio!B411:B415))</f>
        <v/>
      </c>
    </row>
    <row r="414" spans="1:9" x14ac:dyDescent="0.3">
      <c r="A414" s="17" t="str">
        <f t="shared" si="6"/>
        <v/>
      </c>
      <c r="I414" s="17" t="str">
        <f t="array" ref="I414">IF(A414="","",SUMPRODUCT(TRANSPOSE(D414:H414),Inicio!B412:B416))</f>
        <v/>
      </c>
    </row>
    <row r="415" spans="1:9" x14ac:dyDescent="0.3">
      <c r="A415" s="17" t="str">
        <f t="shared" si="6"/>
        <v/>
      </c>
      <c r="I415" s="17" t="str">
        <f t="array" ref="I415">IF(A415="","",SUMPRODUCT(TRANSPOSE(D415:H415),Inicio!B413:B417))</f>
        <v/>
      </c>
    </row>
    <row r="416" spans="1:9" x14ac:dyDescent="0.3">
      <c r="A416" s="17" t="str">
        <f t="shared" si="6"/>
        <v/>
      </c>
      <c r="I416" s="17" t="str">
        <f t="array" ref="I416">IF(A416="","",SUMPRODUCT(TRANSPOSE(D416:H416),Inicio!B414:B418))</f>
        <v/>
      </c>
    </row>
    <row r="417" spans="1:9" x14ac:dyDescent="0.3">
      <c r="A417" s="17" t="str">
        <f t="shared" si="6"/>
        <v/>
      </c>
      <c r="I417" s="17" t="str">
        <f t="array" ref="I417">IF(A417="","",SUMPRODUCT(TRANSPOSE(D417:H417),Inicio!B415:B419))</f>
        <v/>
      </c>
    </row>
    <row r="418" spans="1:9" x14ac:dyDescent="0.3">
      <c r="A418" s="17" t="str">
        <f t="shared" si="6"/>
        <v/>
      </c>
      <c r="I418" s="17" t="str">
        <f t="array" ref="I418">IF(A418="","",SUMPRODUCT(TRANSPOSE(D418:H418),Inicio!B416:B420))</f>
        <v/>
      </c>
    </row>
    <row r="419" spans="1:9" x14ac:dyDescent="0.3">
      <c r="A419" s="17" t="str">
        <f t="shared" si="6"/>
        <v/>
      </c>
      <c r="I419" s="17" t="str">
        <f t="array" ref="I419">IF(A419="","",SUMPRODUCT(TRANSPOSE(D419:H419),Inicio!B417:B421))</f>
        <v/>
      </c>
    </row>
    <row r="420" spans="1:9" x14ac:dyDescent="0.3">
      <c r="A420" s="17" t="str">
        <f t="shared" si="6"/>
        <v/>
      </c>
      <c r="I420" s="17" t="str">
        <f t="array" ref="I420">IF(A420="","",SUMPRODUCT(TRANSPOSE(D420:H420),Inicio!B418:B422))</f>
        <v/>
      </c>
    </row>
    <row r="421" spans="1:9" x14ac:dyDescent="0.3">
      <c r="A421" s="17" t="str">
        <f t="shared" si="6"/>
        <v/>
      </c>
      <c r="I421" s="17" t="str">
        <f t="array" ref="I421">IF(A421="","",SUMPRODUCT(TRANSPOSE(D421:H421),Inicio!B419:B423))</f>
        <v/>
      </c>
    </row>
    <row r="422" spans="1:9" x14ac:dyDescent="0.3">
      <c r="A422" s="17" t="str">
        <f t="shared" si="6"/>
        <v/>
      </c>
      <c r="I422" s="17" t="str">
        <f t="array" ref="I422">IF(A422="","",SUMPRODUCT(TRANSPOSE(D422:H422),Inicio!B420:B424))</f>
        <v/>
      </c>
    </row>
    <row r="423" spans="1:9" x14ac:dyDescent="0.3">
      <c r="A423" s="17" t="str">
        <f t="shared" si="6"/>
        <v/>
      </c>
      <c r="I423" s="17" t="str">
        <f t="array" ref="I423">IF(A423="","",SUMPRODUCT(TRANSPOSE(D423:H423),Inicio!B421:B425))</f>
        <v/>
      </c>
    </row>
    <row r="424" spans="1:9" x14ac:dyDescent="0.3">
      <c r="A424" s="17" t="str">
        <f t="shared" si="6"/>
        <v/>
      </c>
      <c r="I424" s="17" t="str">
        <f t="array" ref="I424">IF(A424="","",SUMPRODUCT(TRANSPOSE(D424:H424),Inicio!B422:B426))</f>
        <v/>
      </c>
    </row>
    <row r="425" spans="1:9" x14ac:dyDescent="0.3">
      <c r="A425" s="17" t="str">
        <f t="shared" si="6"/>
        <v/>
      </c>
      <c r="I425" s="17" t="str">
        <f t="array" ref="I425">IF(A425="","",SUMPRODUCT(TRANSPOSE(D425:H425),Inicio!B423:B427))</f>
        <v/>
      </c>
    </row>
    <row r="426" spans="1:9" x14ac:dyDescent="0.3">
      <c r="A426" s="17" t="str">
        <f t="shared" si="6"/>
        <v/>
      </c>
      <c r="I426" s="17" t="str">
        <f t="array" ref="I426">IF(A426="","",SUMPRODUCT(TRANSPOSE(D426:H426),Inicio!B424:B428))</f>
        <v/>
      </c>
    </row>
    <row r="427" spans="1:9" x14ac:dyDescent="0.3">
      <c r="A427" s="17" t="str">
        <f t="shared" si="6"/>
        <v/>
      </c>
      <c r="I427" s="17" t="str">
        <f t="array" ref="I427">IF(A427="","",SUMPRODUCT(TRANSPOSE(D427:H427),Inicio!B425:B429))</f>
        <v/>
      </c>
    </row>
    <row r="428" spans="1:9" x14ac:dyDescent="0.3">
      <c r="A428" s="17" t="str">
        <f t="shared" si="6"/>
        <v/>
      </c>
      <c r="I428" s="17" t="str">
        <f t="array" ref="I428">IF(A428="","",SUMPRODUCT(TRANSPOSE(D428:H428),Inicio!B426:B430))</f>
        <v/>
      </c>
    </row>
    <row r="429" spans="1:9" x14ac:dyDescent="0.3">
      <c r="A429" s="17" t="str">
        <f t="shared" si="6"/>
        <v/>
      </c>
      <c r="I429" s="17" t="str">
        <f t="array" ref="I429">IF(A429="","",SUMPRODUCT(TRANSPOSE(D429:H429),Inicio!B427:B431))</f>
        <v/>
      </c>
    </row>
    <row r="430" spans="1:9" x14ac:dyDescent="0.3">
      <c r="A430" s="17" t="str">
        <f t="shared" si="6"/>
        <v/>
      </c>
      <c r="I430" s="17" t="str">
        <f t="array" ref="I430">IF(A430="","",SUMPRODUCT(TRANSPOSE(D430:H430),Inicio!B428:B432))</f>
        <v/>
      </c>
    </row>
    <row r="431" spans="1:9" x14ac:dyDescent="0.3">
      <c r="A431" s="17" t="str">
        <f t="shared" si="6"/>
        <v/>
      </c>
      <c r="I431" s="17" t="str">
        <f t="array" ref="I431">IF(A431="","",SUMPRODUCT(TRANSPOSE(D431:H431),Inicio!B429:B433))</f>
        <v/>
      </c>
    </row>
    <row r="432" spans="1:9" x14ac:dyDescent="0.3">
      <c r="A432" s="17" t="str">
        <f t="shared" si="6"/>
        <v/>
      </c>
      <c r="I432" s="17" t="str">
        <f t="array" ref="I432">IF(A432="","",SUMPRODUCT(TRANSPOSE(D432:H432),Inicio!B430:B434))</f>
        <v/>
      </c>
    </row>
    <row r="433" spans="1:9" x14ac:dyDescent="0.3">
      <c r="A433" s="17" t="str">
        <f t="shared" si="6"/>
        <v/>
      </c>
      <c r="I433" s="17" t="str">
        <f t="array" ref="I433">IF(A433="","",SUMPRODUCT(TRANSPOSE(D433:H433),Inicio!B431:B435))</f>
        <v/>
      </c>
    </row>
    <row r="434" spans="1:9" x14ac:dyDescent="0.3">
      <c r="A434" s="17" t="str">
        <f t="shared" si="6"/>
        <v/>
      </c>
      <c r="I434" s="17" t="str">
        <f t="array" ref="I434">IF(A434="","",SUMPRODUCT(TRANSPOSE(D434:H434),Inicio!B432:B436))</f>
        <v/>
      </c>
    </row>
    <row r="435" spans="1:9" x14ac:dyDescent="0.3">
      <c r="A435" s="17" t="str">
        <f t="shared" si="6"/>
        <v/>
      </c>
      <c r="I435" s="17" t="str">
        <f t="array" ref="I435">IF(A435="","",SUMPRODUCT(TRANSPOSE(D435:H435),Inicio!B433:B437))</f>
        <v/>
      </c>
    </row>
    <row r="436" spans="1:9" x14ac:dyDescent="0.3">
      <c r="A436" s="17" t="str">
        <f t="shared" si="6"/>
        <v/>
      </c>
      <c r="I436" s="17" t="str">
        <f t="array" ref="I436">IF(A436="","",SUMPRODUCT(TRANSPOSE(D436:H436),Inicio!B434:B438))</f>
        <v/>
      </c>
    </row>
    <row r="437" spans="1:9" x14ac:dyDescent="0.3">
      <c r="A437" s="17" t="str">
        <f t="shared" si="6"/>
        <v/>
      </c>
      <c r="I437" s="17" t="str">
        <f t="array" ref="I437">IF(A437="","",SUMPRODUCT(TRANSPOSE(D437:H437),Inicio!B435:B439))</f>
        <v/>
      </c>
    </row>
    <row r="438" spans="1:9" x14ac:dyDescent="0.3">
      <c r="A438" s="17" t="str">
        <f t="shared" si="6"/>
        <v/>
      </c>
      <c r="I438" s="17" t="str">
        <f t="array" ref="I438">IF(A438="","",SUMPRODUCT(TRANSPOSE(D438:H438),Inicio!B436:B440))</f>
        <v/>
      </c>
    </row>
    <row r="439" spans="1:9" x14ac:dyDescent="0.3">
      <c r="A439" s="17" t="str">
        <f t="shared" si="6"/>
        <v/>
      </c>
      <c r="I439" s="17" t="str">
        <f t="array" ref="I439">IF(A439="","",SUMPRODUCT(TRANSPOSE(D439:H439),Inicio!B437:B441))</f>
        <v/>
      </c>
    </row>
    <row r="440" spans="1:9" x14ac:dyDescent="0.3">
      <c r="A440" s="17" t="str">
        <f t="shared" si="6"/>
        <v/>
      </c>
      <c r="I440" s="17" t="str">
        <f t="array" ref="I440">IF(A440="","",SUMPRODUCT(TRANSPOSE(D440:H440),Inicio!B438:B442))</f>
        <v/>
      </c>
    </row>
    <row r="441" spans="1:9" x14ac:dyDescent="0.3">
      <c r="A441" s="17" t="str">
        <f t="shared" si="6"/>
        <v/>
      </c>
      <c r="I441" s="17" t="str">
        <f t="array" ref="I441">IF(A441="","",SUMPRODUCT(TRANSPOSE(D441:H441),Inicio!B439:B443))</f>
        <v/>
      </c>
    </row>
    <row r="442" spans="1:9" x14ac:dyDescent="0.3">
      <c r="A442" s="17" t="str">
        <f t="shared" si="6"/>
        <v/>
      </c>
      <c r="I442" s="17" t="str">
        <f t="array" ref="I442">IF(A442="","",SUMPRODUCT(TRANSPOSE(D442:H442),Inicio!B440:B444))</f>
        <v/>
      </c>
    </row>
    <row r="443" spans="1:9" x14ac:dyDescent="0.3">
      <c r="A443" s="17" t="str">
        <f t="shared" si="6"/>
        <v/>
      </c>
      <c r="I443" s="17" t="str">
        <f t="array" ref="I443">IF(A443="","",SUMPRODUCT(TRANSPOSE(D443:H443),Inicio!B441:B445))</f>
        <v/>
      </c>
    </row>
    <row r="444" spans="1:9" x14ac:dyDescent="0.3">
      <c r="A444" s="17" t="str">
        <f t="shared" si="6"/>
        <v/>
      </c>
      <c r="I444" s="17" t="str">
        <f t="array" ref="I444">IF(A444="","",SUMPRODUCT(TRANSPOSE(D444:H444),Inicio!B442:B446))</f>
        <v/>
      </c>
    </row>
    <row r="445" spans="1:9" x14ac:dyDescent="0.3">
      <c r="A445" s="17" t="str">
        <f t="shared" si="6"/>
        <v/>
      </c>
      <c r="I445" s="17" t="str">
        <f t="array" ref="I445">IF(A445="","",SUMPRODUCT(TRANSPOSE(D445:H445),Inicio!B443:B447))</f>
        <v/>
      </c>
    </row>
    <row r="446" spans="1:9" x14ac:dyDescent="0.3">
      <c r="A446" s="17" t="str">
        <f t="shared" si="6"/>
        <v/>
      </c>
      <c r="I446" s="17" t="str">
        <f t="array" ref="I446">IF(A446="","",SUMPRODUCT(TRANSPOSE(D446:H446),Inicio!B444:B448))</f>
        <v/>
      </c>
    </row>
    <row r="447" spans="1:9" x14ac:dyDescent="0.3">
      <c r="A447" s="17" t="str">
        <f t="shared" si="6"/>
        <v/>
      </c>
      <c r="I447" s="17" t="str">
        <f t="array" ref="I447">IF(A447="","",SUMPRODUCT(TRANSPOSE(D447:H447),Inicio!B445:B449))</f>
        <v/>
      </c>
    </row>
    <row r="448" spans="1:9" x14ac:dyDescent="0.3">
      <c r="A448" s="17" t="str">
        <f t="shared" si="6"/>
        <v/>
      </c>
      <c r="I448" s="17" t="str">
        <f t="array" ref="I448">IF(A448="","",SUMPRODUCT(TRANSPOSE(D448:H448),Inicio!B446:B450))</f>
        <v/>
      </c>
    </row>
    <row r="449" spans="1:9" x14ac:dyDescent="0.3">
      <c r="A449" s="17" t="str">
        <f t="shared" si="6"/>
        <v/>
      </c>
      <c r="I449" s="17" t="str">
        <f t="array" ref="I449">IF(A449="","",SUMPRODUCT(TRANSPOSE(D449:H449),Inicio!B447:B451))</f>
        <v/>
      </c>
    </row>
    <row r="450" spans="1:9" x14ac:dyDescent="0.3">
      <c r="A450" s="17" t="str">
        <f t="shared" si="6"/>
        <v/>
      </c>
      <c r="I450" s="17" t="str">
        <f t="array" ref="I450">IF(A450="","",SUMPRODUCT(TRANSPOSE(D450:H450),Inicio!B448:B452))</f>
        <v/>
      </c>
    </row>
    <row r="451" spans="1:9" x14ac:dyDescent="0.3">
      <c r="A451" s="17" t="str">
        <f t="shared" si="6"/>
        <v/>
      </c>
      <c r="I451" s="17" t="str">
        <f t="array" ref="I451">IF(A451="","",SUMPRODUCT(TRANSPOSE(D451:H451),Inicio!B449:B453))</f>
        <v/>
      </c>
    </row>
    <row r="452" spans="1:9" x14ac:dyDescent="0.3">
      <c r="A452" s="17" t="str">
        <f t="shared" si="6"/>
        <v/>
      </c>
      <c r="I452" s="17" t="str">
        <f t="array" ref="I452">IF(A452="","",SUMPRODUCT(TRANSPOSE(D452:H452),Inicio!B450:B454))</f>
        <v/>
      </c>
    </row>
    <row r="453" spans="1:9" x14ac:dyDescent="0.3">
      <c r="A453" s="17" t="str">
        <f t="shared" ref="A453:A500" si="7">IF(IFERROR(YEAR(B453),2000+RIGHT(B453,2))=1900,"",IFERROR(YEAR(B453),2000+RIGHT(B453,2)))</f>
        <v/>
      </c>
      <c r="I453" s="17" t="str">
        <f t="array" ref="I453">IF(A453="","",SUMPRODUCT(TRANSPOSE(D453:H453),Inicio!B451:B455))</f>
        <v/>
      </c>
    </row>
    <row r="454" spans="1:9" x14ac:dyDescent="0.3">
      <c r="A454" s="17" t="str">
        <f t="shared" si="7"/>
        <v/>
      </c>
      <c r="I454" s="17" t="str">
        <f t="array" ref="I454">IF(A454="","",SUMPRODUCT(TRANSPOSE(D454:H454),Inicio!B452:B456))</f>
        <v/>
      </c>
    </row>
    <row r="455" spans="1:9" x14ac:dyDescent="0.3">
      <c r="A455" s="17" t="str">
        <f t="shared" si="7"/>
        <v/>
      </c>
      <c r="I455" s="17" t="str">
        <f t="array" ref="I455">IF(A455="","",SUMPRODUCT(TRANSPOSE(D455:H455),Inicio!B453:B457))</f>
        <v/>
      </c>
    </row>
    <row r="456" spans="1:9" x14ac:dyDescent="0.3">
      <c r="A456" s="17" t="str">
        <f t="shared" si="7"/>
        <v/>
      </c>
      <c r="I456" s="17" t="str">
        <f t="array" ref="I456">IF(A456="","",SUMPRODUCT(TRANSPOSE(D456:H456),Inicio!B454:B458))</f>
        <v/>
      </c>
    </row>
    <row r="457" spans="1:9" x14ac:dyDescent="0.3">
      <c r="A457" s="17" t="str">
        <f t="shared" si="7"/>
        <v/>
      </c>
      <c r="I457" s="17" t="str">
        <f t="array" ref="I457">IF(A457="","",SUMPRODUCT(TRANSPOSE(D457:H457),Inicio!B455:B459))</f>
        <v/>
      </c>
    </row>
    <row r="458" spans="1:9" x14ac:dyDescent="0.3">
      <c r="A458" s="17" t="str">
        <f t="shared" si="7"/>
        <v/>
      </c>
      <c r="I458" s="17" t="str">
        <f t="array" ref="I458">IF(A458="","",SUMPRODUCT(TRANSPOSE(D458:H458),Inicio!B456:B460))</f>
        <v/>
      </c>
    </row>
    <row r="459" spans="1:9" x14ac:dyDescent="0.3">
      <c r="A459" s="17" t="str">
        <f t="shared" si="7"/>
        <v/>
      </c>
      <c r="I459" s="17" t="str">
        <f t="array" ref="I459">IF(A459="","",SUMPRODUCT(TRANSPOSE(D459:H459),Inicio!B457:B461))</f>
        <v/>
      </c>
    </row>
    <row r="460" spans="1:9" x14ac:dyDescent="0.3">
      <c r="A460" s="17" t="str">
        <f t="shared" si="7"/>
        <v/>
      </c>
      <c r="I460" s="17" t="str">
        <f t="array" ref="I460">IF(A460="","",SUMPRODUCT(TRANSPOSE(D460:H460),Inicio!B458:B462))</f>
        <v/>
      </c>
    </row>
    <row r="461" spans="1:9" x14ac:dyDescent="0.3">
      <c r="A461" s="17" t="str">
        <f t="shared" si="7"/>
        <v/>
      </c>
      <c r="I461" s="17" t="str">
        <f t="array" ref="I461">IF(A461="","",SUMPRODUCT(TRANSPOSE(D461:H461),Inicio!B459:B463))</f>
        <v/>
      </c>
    </row>
    <row r="462" spans="1:9" x14ac:dyDescent="0.3">
      <c r="A462" s="17" t="str">
        <f t="shared" si="7"/>
        <v/>
      </c>
      <c r="I462" s="17" t="str">
        <f t="array" ref="I462">IF(A462="","",SUMPRODUCT(TRANSPOSE(D462:H462),Inicio!B460:B464))</f>
        <v/>
      </c>
    </row>
    <row r="463" spans="1:9" x14ac:dyDescent="0.3">
      <c r="A463" s="17" t="str">
        <f t="shared" si="7"/>
        <v/>
      </c>
      <c r="I463" s="17" t="str">
        <f t="array" ref="I463">IF(A463="","",SUMPRODUCT(TRANSPOSE(D463:H463),Inicio!B461:B465))</f>
        <v/>
      </c>
    </row>
    <row r="464" spans="1:9" x14ac:dyDescent="0.3">
      <c r="A464" s="17" t="str">
        <f t="shared" si="7"/>
        <v/>
      </c>
      <c r="I464" s="17" t="str">
        <f t="array" ref="I464">IF(A464="","",SUMPRODUCT(TRANSPOSE(D464:H464),Inicio!B462:B466))</f>
        <v/>
      </c>
    </row>
    <row r="465" spans="1:9" x14ac:dyDescent="0.3">
      <c r="A465" s="17" t="str">
        <f t="shared" si="7"/>
        <v/>
      </c>
      <c r="I465" s="17" t="str">
        <f t="array" ref="I465">IF(A465="","",SUMPRODUCT(TRANSPOSE(D465:H465),Inicio!B463:B467))</f>
        <v/>
      </c>
    </row>
    <row r="466" spans="1:9" x14ac:dyDescent="0.3">
      <c r="A466" s="17" t="str">
        <f t="shared" si="7"/>
        <v/>
      </c>
      <c r="I466" s="17" t="str">
        <f t="array" ref="I466">IF(A466="","",SUMPRODUCT(TRANSPOSE(D466:H466),Inicio!B464:B468))</f>
        <v/>
      </c>
    </row>
    <row r="467" spans="1:9" x14ac:dyDescent="0.3">
      <c r="A467" s="17" t="str">
        <f t="shared" si="7"/>
        <v/>
      </c>
      <c r="I467" s="17" t="str">
        <f t="array" ref="I467">IF(A467="","",SUMPRODUCT(TRANSPOSE(D467:H467),Inicio!B465:B469))</f>
        <v/>
      </c>
    </row>
    <row r="468" spans="1:9" x14ac:dyDescent="0.3">
      <c r="A468" s="17" t="str">
        <f t="shared" si="7"/>
        <v/>
      </c>
      <c r="I468" s="17" t="str">
        <f t="array" ref="I468">IF(A468="","",SUMPRODUCT(TRANSPOSE(D468:H468),Inicio!B466:B470))</f>
        <v/>
      </c>
    </row>
    <row r="469" spans="1:9" x14ac:dyDescent="0.3">
      <c r="A469" s="17" t="str">
        <f t="shared" si="7"/>
        <v/>
      </c>
      <c r="I469" s="17" t="str">
        <f t="array" ref="I469">IF(A469="","",SUMPRODUCT(TRANSPOSE(D469:H469),Inicio!B467:B471))</f>
        <v/>
      </c>
    </row>
    <row r="470" spans="1:9" x14ac:dyDescent="0.3">
      <c r="A470" s="17" t="str">
        <f t="shared" si="7"/>
        <v/>
      </c>
      <c r="I470" s="17" t="str">
        <f t="array" ref="I470">IF(A470="","",SUMPRODUCT(TRANSPOSE(D470:H470),Inicio!B468:B472))</f>
        <v/>
      </c>
    </row>
    <row r="471" spans="1:9" x14ac:dyDescent="0.3">
      <c r="A471" s="17" t="str">
        <f t="shared" si="7"/>
        <v/>
      </c>
      <c r="I471" s="17" t="str">
        <f t="array" ref="I471">IF(A471="","",SUMPRODUCT(TRANSPOSE(D471:H471),Inicio!B469:B473))</f>
        <v/>
      </c>
    </row>
    <row r="472" spans="1:9" x14ac:dyDescent="0.3">
      <c r="A472" s="17" t="str">
        <f t="shared" si="7"/>
        <v/>
      </c>
      <c r="I472" s="17" t="str">
        <f t="array" ref="I472">IF(A472="","",SUMPRODUCT(TRANSPOSE(D472:H472),Inicio!B470:B474))</f>
        <v/>
      </c>
    </row>
    <row r="473" spans="1:9" x14ac:dyDescent="0.3">
      <c r="A473" s="17" t="str">
        <f t="shared" si="7"/>
        <v/>
      </c>
      <c r="I473" s="17" t="str">
        <f t="array" ref="I473">IF(A473="","",SUMPRODUCT(TRANSPOSE(D473:H473),Inicio!B471:B475))</f>
        <v/>
      </c>
    </row>
    <row r="474" spans="1:9" x14ac:dyDescent="0.3">
      <c r="A474" s="17" t="str">
        <f t="shared" si="7"/>
        <v/>
      </c>
      <c r="I474" s="17" t="str">
        <f t="array" ref="I474">IF(A474="","",SUMPRODUCT(TRANSPOSE(D474:H474),Inicio!B472:B476))</f>
        <v/>
      </c>
    </row>
    <row r="475" spans="1:9" x14ac:dyDescent="0.3">
      <c r="A475" s="17" t="str">
        <f t="shared" si="7"/>
        <v/>
      </c>
      <c r="I475" s="17" t="str">
        <f t="array" ref="I475">IF(A475="","",SUMPRODUCT(TRANSPOSE(D475:H475),Inicio!B473:B477))</f>
        <v/>
      </c>
    </row>
    <row r="476" spans="1:9" x14ac:dyDescent="0.3">
      <c r="A476" s="17" t="str">
        <f t="shared" si="7"/>
        <v/>
      </c>
      <c r="I476" s="17" t="str">
        <f t="array" ref="I476">IF(A476="","",SUMPRODUCT(TRANSPOSE(D476:H476),Inicio!B474:B478))</f>
        <v/>
      </c>
    </row>
    <row r="477" spans="1:9" x14ac:dyDescent="0.3">
      <c r="A477" s="17" t="str">
        <f t="shared" si="7"/>
        <v/>
      </c>
      <c r="I477" s="17" t="str">
        <f t="array" ref="I477">IF(A477="","",SUMPRODUCT(TRANSPOSE(D477:H477),Inicio!B475:B479))</f>
        <v/>
      </c>
    </row>
    <row r="478" spans="1:9" x14ac:dyDescent="0.3">
      <c r="A478" s="17" t="str">
        <f t="shared" si="7"/>
        <v/>
      </c>
      <c r="I478" s="17" t="str">
        <f t="array" ref="I478">IF(A478="","",SUMPRODUCT(TRANSPOSE(D478:H478),Inicio!B476:B480))</f>
        <v/>
      </c>
    </row>
    <row r="479" spans="1:9" x14ac:dyDescent="0.3">
      <c r="A479" s="17" t="str">
        <f t="shared" si="7"/>
        <v/>
      </c>
      <c r="I479" s="17" t="str">
        <f t="array" ref="I479">IF(A479="","",SUMPRODUCT(TRANSPOSE(D479:H479),Inicio!B477:B481))</f>
        <v/>
      </c>
    </row>
    <row r="480" spans="1:9" x14ac:dyDescent="0.3">
      <c r="A480" s="17" t="str">
        <f t="shared" si="7"/>
        <v/>
      </c>
      <c r="I480" s="17" t="str">
        <f t="array" ref="I480">IF(A480="","",SUMPRODUCT(TRANSPOSE(D480:H480),Inicio!B478:B482))</f>
        <v/>
      </c>
    </row>
    <row r="481" spans="1:9" x14ac:dyDescent="0.3">
      <c r="A481" s="17" t="str">
        <f t="shared" si="7"/>
        <v/>
      </c>
      <c r="I481" s="17" t="str">
        <f t="array" ref="I481">IF(A481="","",SUMPRODUCT(TRANSPOSE(D481:H481),Inicio!B479:B483))</f>
        <v/>
      </c>
    </row>
    <row r="482" spans="1:9" x14ac:dyDescent="0.3">
      <c r="A482" s="17" t="str">
        <f t="shared" si="7"/>
        <v/>
      </c>
      <c r="I482" s="17" t="str">
        <f t="array" ref="I482">IF(A482="","",SUMPRODUCT(TRANSPOSE(D482:H482),Inicio!B480:B484))</f>
        <v/>
      </c>
    </row>
    <row r="483" spans="1:9" x14ac:dyDescent="0.3">
      <c r="A483" s="17" t="str">
        <f t="shared" si="7"/>
        <v/>
      </c>
      <c r="I483" s="17" t="str">
        <f t="array" ref="I483">IF(A483="","",SUMPRODUCT(TRANSPOSE(D483:H483),Inicio!B481:B485))</f>
        <v/>
      </c>
    </row>
    <row r="484" spans="1:9" x14ac:dyDescent="0.3">
      <c r="A484" s="17" t="str">
        <f t="shared" si="7"/>
        <v/>
      </c>
      <c r="I484" s="17" t="str">
        <f t="array" ref="I484">IF(A484="","",SUMPRODUCT(TRANSPOSE(D484:H484),Inicio!B482:B486))</f>
        <v/>
      </c>
    </row>
    <row r="485" spans="1:9" x14ac:dyDescent="0.3">
      <c r="A485" s="17" t="str">
        <f t="shared" si="7"/>
        <v/>
      </c>
      <c r="I485" s="17" t="str">
        <f t="array" ref="I485">IF(A485="","",SUMPRODUCT(TRANSPOSE(D485:H485),Inicio!B483:B487))</f>
        <v/>
      </c>
    </row>
    <row r="486" spans="1:9" x14ac:dyDescent="0.3">
      <c r="A486" s="17" t="str">
        <f t="shared" si="7"/>
        <v/>
      </c>
      <c r="I486" s="17" t="str">
        <f t="array" ref="I486">IF(A486="","",SUMPRODUCT(TRANSPOSE(D486:H486),Inicio!B484:B488))</f>
        <v/>
      </c>
    </row>
    <row r="487" spans="1:9" x14ac:dyDescent="0.3">
      <c r="A487" s="17" t="str">
        <f t="shared" si="7"/>
        <v/>
      </c>
      <c r="I487" s="17" t="str">
        <f t="array" ref="I487">IF(A487="","",SUMPRODUCT(TRANSPOSE(D487:H487),Inicio!B485:B489))</f>
        <v/>
      </c>
    </row>
    <row r="488" spans="1:9" x14ac:dyDescent="0.3">
      <c r="A488" s="17" t="str">
        <f t="shared" si="7"/>
        <v/>
      </c>
      <c r="I488" s="17" t="str">
        <f t="array" ref="I488">IF(A488="","",SUMPRODUCT(TRANSPOSE(D488:H488),Inicio!B486:B490))</f>
        <v/>
      </c>
    </row>
    <row r="489" spans="1:9" x14ac:dyDescent="0.3">
      <c r="A489" s="17" t="str">
        <f t="shared" si="7"/>
        <v/>
      </c>
      <c r="I489" s="17" t="str">
        <f t="array" ref="I489">IF(A489="","",SUMPRODUCT(TRANSPOSE(D489:H489),Inicio!B487:B491))</f>
        <v/>
      </c>
    </row>
    <row r="490" spans="1:9" x14ac:dyDescent="0.3">
      <c r="A490" s="17" t="str">
        <f t="shared" si="7"/>
        <v/>
      </c>
      <c r="I490" s="17" t="str">
        <f t="array" ref="I490">IF(A490="","",SUMPRODUCT(TRANSPOSE(D490:H490),Inicio!B488:B492))</f>
        <v/>
      </c>
    </row>
    <row r="491" spans="1:9" x14ac:dyDescent="0.3">
      <c r="A491" s="17" t="str">
        <f t="shared" si="7"/>
        <v/>
      </c>
      <c r="I491" s="17" t="str">
        <f t="array" ref="I491">IF(A491="","",SUMPRODUCT(TRANSPOSE(D491:H491),Inicio!B489:B493))</f>
        <v/>
      </c>
    </row>
    <row r="492" spans="1:9" x14ac:dyDescent="0.3">
      <c r="A492" s="17" t="str">
        <f t="shared" si="7"/>
        <v/>
      </c>
      <c r="I492" s="17" t="str">
        <f t="array" ref="I492">IF(A492="","",SUMPRODUCT(TRANSPOSE(D492:H492),Inicio!B490:B494))</f>
        <v/>
      </c>
    </row>
    <row r="493" spans="1:9" x14ac:dyDescent="0.3">
      <c r="A493" s="17" t="str">
        <f t="shared" si="7"/>
        <v/>
      </c>
      <c r="I493" s="17" t="str">
        <f t="array" ref="I493">IF(A493="","",SUMPRODUCT(TRANSPOSE(D493:H493),Inicio!B491:B495))</f>
        <v/>
      </c>
    </row>
    <row r="494" spans="1:9" x14ac:dyDescent="0.3">
      <c r="A494" s="17" t="str">
        <f t="shared" si="7"/>
        <v/>
      </c>
      <c r="I494" s="17" t="str">
        <f t="array" ref="I494">IF(A494="","",SUMPRODUCT(TRANSPOSE(D494:H494),Inicio!B492:B496))</f>
        <v/>
      </c>
    </row>
    <row r="495" spans="1:9" x14ac:dyDescent="0.3">
      <c r="A495" s="17" t="str">
        <f t="shared" si="7"/>
        <v/>
      </c>
      <c r="I495" s="17" t="str">
        <f t="array" ref="I495">IF(A495="","",SUMPRODUCT(TRANSPOSE(D495:H495),Inicio!B493:B497))</f>
        <v/>
      </c>
    </row>
    <row r="496" spans="1:9" x14ac:dyDescent="0.3">
      <c r="A496" s="17" t="str">
        <f t="shared" si="7"/>
        <v/>
      </c>
      <c r="I496" s="17" t="str">
        <f t="array" ref="I496">IF(A496="","",SUMPRODUCT(TRANSPOSE(D496:H496),Inicio!B494:B498))</f>
        <v/>
      </c>
    </row>
    <row r="497" spans="1:9" x14ac:dyDescent="0.3">
      <c r="A497" s="17" t="str">
        <f t="shared" si="7"/>
        <v/>
      </c>
      <c r="I497" s="17" t="str">
        <f t="array" ref="I497">IF(A497="","",SUMPRODUCT(TRANSPOSE(D497:H497),Inicio!B495:B499))</f>
        <v/>
      </c>
    </row>
    <row r="498" spans="1:9" x14ac:dyDescent="0.3">
      <c r="A498" s="17" t="str">
        <f t="shared" si="7"/>
        <v/>
      </c>
      <c r="I498" s="17" t="str">
        <f t="array" ref="I498">IF(A498="","",SUMPRODUCT(TRANSPOSE(D498:H498),Inicio!B496:B500))</f>
        <v/>
      </c>
    </row>
    <row r="499" spans="1:9" x14ac:dyDescent="0.3">
      <c r="A499" s="17" t="str">
        <f t="shared" si="7"/>
        <v/>
      </c>
      <c r="I499" s="17" t="str">
        <f t="array" ref="I499">IF(A499="","",SUMPRODUCT(TRANSPOSE(D499:H499),Inicio!B497:B501))</f>
        <v/>
      </c>
    </row>
    <row r="500" spans="1:9" x14ac:dyDescent="0.3">
      <c r="A500" s="17" t="str">
        <f t="shared" si="7"/>
        <v/>
      </c>
      <c r="I500" s="17" t="str">
        <f t="array" ref="I500">IF(A500="","",SUMPRODUCT(TRANSPOSE(D500:H500),Inicio!B498:B502))</f>
        <v/>
      </c>
    </row>
  </sheetData>
  <mergeCells count="14">
    <mergeCell ref="A1:U1"/>
    <mergeCell ref="K2:K3"/>
    <mergeCell ref="A2:A3"/>
    <mergeCell ref="B2:B3"/>
    <mergeCell ref="C2:C3"/>
    <mergeCell ref="D2:H2"/>
    <mergeCell ref="J2:J3"/>
    <mergeCell ref="L2:L3"/>
    <mergeCell ref="M2:M3"/>
    <mergeCell ref="P2:P3"/>
    <mergeCell ref="N2:N3"/>
    <mergeCell ref="I2:I3"/>
    <mergeCell ref="Q2:Q3"/>
    <mergeCell ref="O2:O3"/>
  </mergeCells>
  <pageMargins left="0.7" right="0.7" top="0.75" bottom="0.75" header="0.3" footer="0.3"/>
  <ignoredErrors>
    <ignoredError sqref="I9:I10 I4:I6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A681D-A5E7-438F-A804-C19C25B45D5A}">
  <sheetPr codeName="Hoja3"/>
  <dimension ref="A1:A228"/>
  <sheetViews>
    <sheetView workbookViewId="0"/>
  </sheetViews>
  <sheetFormatPr defaultColWidth="11.5546875" defaultRowHeight="14.4" x14ac:dyDescent="0.3"/>
  <cols>
    <col min="1" max="1" width="28.44140625" bestFit="1" customWidth="1"/>
  </cols>
  <sheetData>
    <row r="1" spans="1:1" x14ac:dyDescent="0.3">
      <c r="A1" s="17" t="s">
        <v>303</v>
      </c>
    </row>
    <row r="2" spans="1:1" x14ac:dyDescent="0.3">
      <c r="A2" s="18" t="s">
        <v>304</v>
      </c>
    </row>
    <row r="3" spans="1:1" x14ac:dyDescent="0.3">
      <c r="A3" s="18" t="s">
        <v>305</v>
      </c>
    </row>
    <row r="4" spans="1:1" x14ac:dyDescent="0.3">
      <c r="A4" s="18" t="s">
        <v>78</v>
      </c>
    </row>
    <row r="5" spans="1:1" x14ac:dyDescent="0.3">
      <c r="A5" s="18" t="s">
        <v>79</v>
      </c>
    </row>
    <row r="6" spans="1:1" x14ac:dyDescent="0.3">
      <c r="A6" s="18" t="s">
        <v>80</v>
      </c>
    </row>
    <row r="7" spans="1:1" x14ac:dyDescent="0.3">
      <c r="A7" s="18" t="s">
        <v>81</v>
      </c>
    </row>
    <row r="8" spans="1:1" x14ac:dyDescent="0.3">
      <c r="A8" s="18" t="s">
        <v>82</v>
      </c>
    </row>
    <row r="9" spans="1:1" x14ac:dyDescent="0.3">
      <c r="A9" s="17" t="s">
        <v>83</v>
      </c>
    </row>
    <row r="10" spans="1:1" x14ac:dyDescent="0.3">
      <c r="A10" s="18" t="s">
        <v>84</v>
      </c>
    </row>
    <row r="11" spans="1:1" x14ac:dyDescent="0.3">
      <c r="A11" s="18" t="s">
        <v>85</v>
      </c>
    </row>
    <row r="12" spans="1:1" x14ac:dyDescent="0.3">
      <c r="A12" s="18" t="s">
        <v>86</v>
      </c>
    </row>
    <row r="13" spans="1:1" x14ac:dyDescent="0.3">
      <c r="A13" s="18" t="s">
        <v>87</v>
      </c>
    </row>
    <row r="14" spans="1:1" x14ac:dyDescent="0.3">
      <c r="A14" s="18" t="s">
        <v>88</v>
      </c>
    </row>
    <row r="15" spans="1:1" x14ac:dyDescent="0.3">
      <c r="A15" s="18" t="s">
        <v>89</v>
      </c>
    </row>
    <row r="16" spans="1:1" x14ac:dyDescent="0.3">
      <c r="A16" s="18" t="s">
        <v>90</v>
      </c>
    </row>
    <row r="17" spans="1:1" x14ac:dyDescent="0.3">
      <c r="A17" s="18" t="s">
        <v>91</v>
      </c>
    </row>
    <row r="18" spans="1:1" x14ac:dyDescent="0.3">
      <c r="A18" s="18" t="s">
        <v>92</v>
      </c>
    </row>
    <row r="19" spans="1:1" x14ac:dyDescent="0.3">
      <c r="A19" s="18" t="s">
        <v>93</v>
      </c>
    </row>
    <row r="20" spans="1:1" x14ac:dyDescent="0.3">
      <c r="A20" s="18" t="s">
        <v>94</v>
      </c>
    </row>
    <row r="21" spans="1:1" x14ac:dyDescent="0.3">
      <c r="A21" s="18" t="s">
        <v>95</v>
      </c>
    </row>
    <row r="22" spans="1:1" x14ac:dyDescent="0.3">
      <c r="A22" s="18" t="s">
        <v>96</v>
      </c>
    </row>
    <row r="23" spans="1:1" x14ac:dyDescent="0.3">
      <c r="A23" s="18" t="s">
        <v>97</v>
      </c>
    </row>
    <row r="24" spans="1:1" x14ac:dyDescent="0.3">
      <c r="A24" s="18" t="s">
        <v>98</v>
      </c>
    </row>
    <row r="25" spans="1:1" x14ac:dyDescent="0.3">
      <c r="A25" s="18" t="s">
        <v>99</v>
      </c>
    </row>
    <row r="26" spans="1:1" x14ac:dyDescent="0.3">
      <c r="A26" s="18" t="s">
        <v>100</v>
      </c>
    </row>
    <row r="27" spans="1:1" x14ac:dyDescent="0.3">
      <c r="A27" s="17" t="s">
        <v>101</v>
      </c>
    </row>
    <row r="28" spans="1:1" x14ac:dyDescent="0.3">
      <c r="A28" s="18" t="s">
        <v>102</v>
      </c>
    </row>
    <row r="29" spans="1:1" x14ac:dyDescent="0.3">
      <c r="A29" s="18" t="s">
        <v>103</v>
      </c>
    </row>
    <row r="30" spans="1:1" x14ac:dyDescent="0.3">
      <c r="A30" s="17" t="s">
        <v>104</v>
      </c>
    </row>
    <row r="31" spans="1:1" x14ac:dyDescent="0.3">
      <c r="A31" s="18" t="s">
        <v>105</v>
      </c>
    </row>
    <row r="32" spans="1:1" x14ac:dyDescent="0.3">
      <c r="A32" s="18" t="s">
        <v>106</v>
      </c>
    </row>
    <row r="33" spans="1:1" x14ac:dyDescent="0.3">
      <c r="A33" s="18" t="s">
        <v>107</v>
      </c>
    </row>
    <row r="34" spans="1:1" x14ac:dyDescent="0.3">
      <c r="A34" s="18" t="s">
        <v>108</v>
      </c>
    </row>
    <row r="35" spans="1:1" x14ac:dyDescent="0.3">
      <c r="A35" s="18" t="s">
        <v>109</v>
      </c>
    </row>
    <row r="36" spans="1:1" x14ac:dyDescent="0.3">
      <c r="A36" s="18" t="s">
        <v>110</v>
      </c>
    </row>
    <row r="37" spans="1:1" x14ac:dyDescent="0.3">
      <c r="A37" s="18" t="s">
        <v>111</v>
      </c>
    </row>
    <row r="38" spans="1:1" x14ac:dyDescent="0.3">
      <c r="A38" s="18" t="s">
        <v>112</v>
      </c>
    </row>
    <row r="39" spans="1:1" x14ac:dyDescent="0.3">
      <c r="A39" s="18" t="s">
        <v>113</v>
      </c>
    </row>
    <row r="40" spans="1:1" x14ac:dyDescent="0.3">
      <c r="A40" s="18" t="s">
        <v>114</v>
      </c>
    </row>
    <row r="41" spans="1:1" x14ac:dyDescent="0.3">
      <c r="A41" s="17" t="s">
        <v>115</v>
      </c>
    </row>
    <row r="42" spans="1:1" x14ac:dyDescent="0.3">
      <c r="A42" s="18" t="s">
        <v>116</v>
      </c>
    </row>
    <row r="43" spans="1:1" x14ac:dyDescent="0.3">
      <c r="A43" s="18" t="s">
        <v>117</v>
      </c>
    </row>
    <row r="44" spans="1:1" x14ac:dyDescent="0.3">
      <c r="A44" s="18" t="s">
        <v>118</v>
      </c>
    </row>
    <row r="45" spans="1:1" x14ac:dyDescent="0.3">
      <c r="A45" s="18" t="s">
        <v>119</v>
      </c>
    </row>
    <row r="46" spans="1:1" x14ac:dyDescent="0.3">
      <c r="A46" s="18" t="s">
        <v>120</v>
      </c>
    </row>
    <row r="47" spans="1:1" x14ac:dyDescent="0.3">
      <c r="A47" s="17" t="s">
        <v>121</v>
      </c>
    </row>
    <row r="48" spans="1:1" x14ac:dyDescent="0.3">
      <c r="A48" s="17" t="s">
        <v>122</v>
      </c>
    </row>
    <row r="49" spans="1:1" x14ac:dyDescent="0.3">
      <c r="A49" s="18" t="s">
        <v>123</v>
      </c>
    </row>
    <row r="50" spans="1:1" x14ac:dyDescent="0.3">
      <c r="A50" s="18" t="s">
        <v>124</v>
      </c>
    </row>
    <row r="51" spans="1:1" x14ac:dyDescent="0.3">
      <c r="A51" s="18" t="s">
        <v>125</v>
      </c>
    </row>
    <row r="52" spans="1:1" x14ac:dyDescent="0.3">
      <c r="A52" s="18" t="s">
        <v>126</v>
      </c>
    </row>
    <row r="53" spans="1:1" x14ac:dyDescent="0.3">
      <c r="A53" s="18" t="s">
        <v>127</v>
      </c>
    </row>
    <row r="54" spans="1:1" x14ac:dyDescent="0.3">
      <c r="A54" s="18" t="s">
        <v>128</v>
      </c>
    </row>
    <row r="55" spans="1:1" x14ac:dyDescent="0.3">
      <c r="A55" s="18" t="s">
        <v>129</v>
      </c>
    </row>
    <row r="56" spans="1:1" x14ac:dyDescent="0.3">
      <c r="A56" s="18" t="s">
        <v>130</v>
      </c>
    </row>
    <row r="57" spans="1:1" x14ac:dyDescent="0.3">
      <c r="A57" s="18" t="s">
        <v>131</v>
      </c>
    </row>
    <row r="58" spans="1:1" x14ac:dyDescent="0.3">
      <c r="A58" s="18" t="s">
        <v>132</v>
      </c>
    </row>
    <row r="59" spans="1:1" x14ac:dyDescent="0.3">
      <c r="A59" s="17" t="s">
        <v>133</v>
      </c>
    </row>
    <row r="60" spans="1:1" x14ac:dyDescent="0.3">
      <c r="A60" s="18" t="s">
        <v>134</v>
      </c>
    </row>
    <row r="61" spans="1:1" x14ac:dyDescent="0.3">
      <c r="A61" s="18" t="s">
        <v>135</v>
      </c>
    </row>
    <row r="62" spans="1:1" x14ac:dyDescent="0.3">
      <c r="A62" s="18" t="s">
        <v>136</v>
      </c>
    </row>
    <row r="63" spans="1:1" x14ac:dyDescent="0.3">
      <c r="A63" s="18" t="s">
        <v>137</v>
      </c>
    </row>
    <row r="64" spans="1:1" x14ac:dyDescent="0.3">
      <c r="A64" s="18" t="s">
        <v>138</v>
      </c>
    </row>
    <row r="65" spans="1:1" x14ac:dyDescent="0.3">
      <c r="A65" s="18" t="s">
        <v>139</v>
      </c>
    </row>
    <row r="66" spans="1:1" x14ac:dyDescent="0.3">
      <c r="A66" s="18" t="s">
        <v>140</v>
      </c>
    </row>
    <row r="67" spans="1:1" x14ac:dyDescent="0.3">
      <c r="A67" s="18" t="s">
        <v>141</v>
      </c>
    </row>
    <row r="68" spans="1:1" x14ac:dyDescent="0.3">
      <c r="A68" s="18" t="s">
        <v>142</v>
      </c>
    </row>
    <row r="69" spans="1:1" x14ac:dyDescent="0.3">
      <c r="A69" s="18" t="s">
        <v>143</v>
      </c>
    </row>
    <row r="70" spans="1:1" x14ac:dyDescent="0.3">
      <c r="A70" s="18" t="s">
        <v>144</v>
      </c>
    </row>
    <row r="71" spans="1:1" x14ac:dyDescent="0.3">
      <c r="A71" s="18" t="s">
        <v>145</v>
      </c>
    </row>
    <row r="72" spans="1:1" x14ac:dyDescent="0.3">
      <c r="A72" s="18" t="s">
        <v>146</v>
      </c>
    </row>
    <row r="73" spans="1:1" x14ac:dyDescent="0.3">
      <c r="A73" s="18" t="s">
        <v>147</v>
      </c>
    </row>
    <row r="74" spans="1:1" x14ac:dyDescent="0.3">
      <c r="A74" s="18" t="s">
        <v>148</v>
      </c>
    </row>
    <row r="75" spans="1:1" x14ac:dyDescent="0.3">
      <c r="A75" s="18" t="s">
        <v>149</v>
      </c>
    </row>
    <row r="76" spans="1:1" x14ac:dyDescent="0.3">
      <c r="A76" s="18" t="s">
        <v>150</v>
      </c>
    </row>
    <row r="77" spans="1:1" x14ac:dyDescent="0.3">
      <c r="A77" s="18" t="s">
        <v>151</v>
      </c>
    </row>
    <row r="78" spans="1:1" x14ac:dyDescent="0.3">
      <c r="A78" s="18" t="s">
        <v>152</v>
      </c>
    </row>
    <row r="79" spans="1:1" x14ac:dyDescent="0.3">
      <c r="A79" s="18" t="s">
        <v>153</v>
      </c>
    </row>
    <row r="80" spans="1:1" x14ac:dyDescent="0.3">
      <c r="A80" s="18" t="s">
        <v>154</v>
      </c>
    </row>
    <row r="81" spans="1:1" x14ac:dyDescent="0.3">
      <c r="A81" s="18" t="s">
        <v>155</v>
      </c>
    </row>
    <row r="82" spans="1:1" x14ac:dyDescent="0.3">
      <c r="A82" s="18" t="s">
        <v>156</v>
      </c>
    </row>
    <row r="83" spans="1:1" x14ac:dyDescent="0.3">
      <c r="A83" s="18" t="s">
        <v>157</v>
      </c>
    </row>
    <row r="84" spans="1:1" x14ac:dyDescent="0.3">
      <c r="A84" s="18" t="s">
        <v>158</v>
      </c>
    </row>
    <row r="85" spans="1:1" x14ac:dyDescent="0.3">
      <c r="A85" s="18" t="s">
        <v>159</v>
      </c>
    </row>
    <row r="86" spans="1:1" x14ac:dyDescent="0.3">
      <c r="A86" s="18" t="s">
        <v>160</v>
      </c>
    </row>
    <row r="87" spans="1:1" x14ac:dyDescent="0.3">
      <c r="A87" s="18" t="s">
        <v>161</v>
      </c>
    </row>
    <row r="88" spans="1:1" x14ac:dyDescent="0.3">
      <c r="A88" s="18" t="s">
        <v>162</v>
      </c>
    </row>
    <row r="89" spans="1:1" x14ac:dyDescent="0.3">
      <c r="A89" s="18" t="s">
        <v>163</v>
      </c>
    </row>
    <row r="90" spans="1:1" x14ac:dyDescent="0.3">
      <c r="A90" s="18" t="s">
        <v>164</v>
      </c>
    </row>
    <row r="91" spans="1:1" x14ac:dyDescent="0.3">
      <c r="A91" s="18" t="s">
        <v>165</v>
      </c>
    </row>
    <row r="92" spans="1:1" x14ac:dyDescent="0.3">
      <c r="A92" s="18" t="s">
        <v>166</v>
      </c>
    </row>
    <row r="93" spans="1:1" x14ac:dyDescent="0.3">
      <c r="A93" s="18" t="s">
        <v>167</v>
      </c>
    </row>
    <row r="94" spans="1:1" x14ac:dyDescent="0.3">
      <c r="A94" s="18" t="s">
        <v>168</v>
      </c>
    </row>
    <row r="95" spans="1:1" x14ac:dyDescent="0.3">
      <c r="A95" s="18" t="s">
        <v>169</v>
      </c>
    </row>
    <row r="96" spans="1:1" x14ac:dyDescent="0.3">
      <c r="A96" s="18" t="s">
        <v>170</v>
      </c>
    </row>
    <row r="97" spans="1:1" x14ac:dyDescent="0.3">
      <c r="A97" s="18" t="s">
        <v>171</v>
      </c>
    </row>
    <row r="98" spans="1:1" x14ac:dyDescent="0.3">
      <c r="A98" s="18" t="s">
        <v>172</v>
      </c>
    </row>
    <row r="99" spans="1:1" x14ac:dyDescent="0.3">
      <c r="A99" s="18" t="s">
        <v>173</v>
      </c>
    </row>
    <row r="100" spans="1:1" x14ac:dyDescent="0.3">
      <c r="A100" s="18" t="s">
        <v>174</v>
      </c>
    </row>
    <row r="101" spans="1:1" x14ac:dyDescent="0.3">
      <c r="A101" s="18" t="s">
        <v>175</v>
      </c>
    </row>
    <row r="102" spans="1:1" x14ac:dyDescent="0.3">
      <c r="A102" s="18" t="s">
        <v>176</v>
      </c>
    </row>
    <row r="103" spans="1:1" x14ac:dyDescent="0.3">
      <c r="A103" s="18" t="s">
        <v>177</v>
      </c>
    </row>
    <row r="104" spans="1:1" x14ac:dyDescent="0.3">
      <c r="A104" s="18" t="s">
        <v>178</v>
      </c>
    </row>
    <row r="105" spans="1:1" x14ac:dyDescent="0.3">
      <c r="A105" s="18" t="s">
        <v>179</v>
      </c>
    </row>
    <row r="106" spans="1:1" x14ac:dyDescent="0.3">
      <c r="A106" s="18" t="s">
        <v>180</v>
      </c>
    </row>
    <row r="107" spans="1:1" x14ac:dyDescent="0.3">
      <c r="A107" s="18" t="s">
        <v>181</v>
      </c>
    </row>
    <row r="108" spans="1:1" x14ac:dyDescent="0.3">
      <c r="A108" s="18" t="s">
        <v>182</v>
      </c>
    </row>
    <row r="109" spans="1:1" x14ac:dyDescent="0.3">
      <c r="A109" s="18" t="s">
        <v>183</v>
      </c>
    </row>
    <row r="110" spans="1:1" x14ac:dyDescent="0.3">
      <c r="A110" s="18" t="s">
        <v>184</v>
      </c>
    </row>
    <row r="111" spans="1:1" x14ac:dyDescent="0.3">
      <c r="A111" s="18" t="s">
        <v>185</v>
      </c>
    </row>
    <row r="112" spans="1:1" x14ac:dyDescent="0.3">
      <c r="A112" s="18" t="s">
        <v>186</v>
      </c>
    </row>
    <row r="113" spans="1:1" x14ac:dyDescent="0.3">
      <c r="A113" s="18" t="s">
        <v>187</v>
      </c>
    </row>
    <row r="114" spans="1:1" x14ac:dyDescent="0.3">
      <c r="A114" s="18" t="s">
        <v>188</v>
      </c>
    </row>
    <row r="115" spans="1:1" x14ac:dyDescent="0.3">
      <c r="A115" s="18" t="s">
        <v>189</v>
      </c>
    </row>
    <row r="116" spans="1:1" x14ac:dyDescent="0.3">
      <c r="A116" s="18" t="s">
        <v>190</v>
      </c>
    </row>
    <row r="117" spans="1:1" x14ac:dyDescent="0.3">
      <c r="A117" s="18" t="s">
        <v>191</v>
      </c>
    </row>
    <row r="118" spans="1:1" x14ac:dyDescent="0.3">
      <c r="A118" s="18" t="s">
        <v>192</v>
      </c>
    </row>
    <row r="119" spans="1:1" x14ac:dyDescent="0.3">
      <c r="A119" s="18" t="s">
        <v>193</v>
      </c>
    </row>
    <row r="120" spans="1:1" x14ac:dyDescent="0.3">
      <c r="A120" s="18" t="s">
        <v>194</v>
      </c>
    </row>
    <row r="121" spans="1:1" x14ac:dyDescent="0.3">
      <c r="A121" s="18" t="s">
        <v>195</v>
      </c>
    </row>
    <row r="122" spans="1:1" x14ac:dyDescent="0.3">
      <c r="A122" s="18" t="s">
        <v>196</v>
      </c>
    </row>
    <row r="123" spans="1:1" x14ac:dyDescent="0.3">
      <c r="A123" s="18" t="s">
        <v>197</v>
      </c>
    </row>
    <row r="124" spans="1:1" x14ac:dyDescent="0.3">
      <c r="A124" s="18" t="s">
        <v>198</v>
      </c>
    </row>
    <row r="125" spans="1:1" x14ac:dyDescent="0.3">
      <c r="A125" s="18" t="s">
        <v>199</v>
      </c>
    </row>
    <row r="126" spans="1:1" x14ac:dyDescent="0.3">
      <c r="A126" s="18" t="s">
        <v>200</v>
      </c>
    </row>
    <row r="127" spans="1:1" x14ac:dyDescent="0.3">
      <c r="A127" s="18" t="s">
        <v>201</v>
      </c>
    </row>
    <row r="128" spans="1:1" x14ac:dyDescent="0.3">
      <c r="A128" s="18" t="s">
        <v>202</v>
      </c>
    </row>
    <row r="129" spans="1:1" x14ac:dyDescent="0.3">
      <c r="A129" s="18" t="s">
        <v>203</v>
      </c>
    </row>
    <row r="130" spans="1:1" x14ac:dyDescent="0.3">
      <c r="A130" s="18" t="s">
        <v>204</v>
      </c>
    </row>
    <row r="131" spans="1:1" x14ac:dyDescent="0.3">
      <c r="A131" s="18" t="s">
        <v>205</v>
      </c>
    </row>
    <row r="132" spans="1:1" x14ac:dyDescent="0.3">
      <c r="A132" s="18" t="s">
        <v>206</v>
      </c>
    </row>
    <row r="133" spans="1:1" x14ac:dyDescent="0.3">
      <c r="A133" s="18" t="s">
        <v>207</v>
      </c>
    </row>
    <row r="134" spans="1:1" x14ac:dyDescent="0.3">
      <c r="A134" s="18" t="s">
        <v>208</v>
      </c>
    </row>
    <row r="135" spans="1:1" x14ac:dyDescent="0.3">
      <c r="A135" s="18" t="s">
        <v>209</v>
      </c>
    </row>
    <row r="136" spans="1:1" x14ac:dyDescent="0.3">
      <c r="A136" s="18" t="s">
        <v>210</v>
      </c>
    </row>
    <row r="137" spans="1:1" x14ac:dyDescent="0.3">
      <c r="A137" s="18" t="s">
        <v>211</v>
      </c>
    </row>
    <row r="138" spans="1:1" x14ac:dyDescent="0.3">
      <c r="A138" s="17" t="s">
        <v>212</v>
      </c>
    </row>
    <row r="139" spans="1:1" x14ac:dyDescent="0.3">
      <c r="A139" s="18" t="s">
        <v>213</v>
      </c>
    </row>
    <row r="140" spans="1:1" x14ac:dyDescent="0.3">
      <c r="A140" s="18" t="s">
        <v>214</v>
      </c>
    </row>
    <row r="141" spans="1:1" x14ac:dyDescent="0.3">
      <c r="A141" s="18" t="s">
        <v>215</v>
      </c>
    </row>
    <row r="142" spans="1:1" x14ac:dyDescent="0.3">
      <c r="A142" s="18" t="s">
        <v>216</v>
      </c>
    </row>
    <row r="143" spans="1:1" x14ac:dyDescent="0.3">
      <c r="A143" s="18" t="s">
        <v>217</v>
      </c>
    </row>
    <row r="144" spans="1:1" x14ac:dyDescent="0.3">
      <c r="A144" s="18" t="s">
        <v>218</v>
      </c>
    </row>
    <row r="145" spans="1:1" x14ac:dyDescent="0.3">
      <c r="A145" s="18" t="s">
        <v>219</v>
      </c>
    </row>
    <row r="146" spans="1:1" x14ac:dyDescent="0.3">
      <c r="A146" s="18" t="s">
        <v>220</v>
      </c>
    </row>
    <row r="147" spans="1:1" x14ac:dyDescent="0.3">
      <c r="A147" s="18" t="s">
        <v>221</v>
      </c>
    </row>
    <row r="148" spans="1:1" x14ac:dyDescent="0.3">
      <c r="A148" s="18" t="s">
        <v>222</v>
      </c>
    </row>
    <row r="149" spans="1:1" x14ac:dyDescent="0.3">
      <c r="A149" s="17" t="s">
        <v>223</v>
      </c>
    </row>
    <row r="150" spans="1:1" x14ac:dyDescent="0.3">
      <c r="A150" s="18" t="s">
        <v>224</v>
      </c>
    </row>
    <row r="151" spans="1:1" x14ac:dyDescent="0.3">
      <c r="A151" s="18" t="s">
        <v>225</v>
      </c>
    </row>
    <row r="152" spans="1:1" x14ac:dyDescent="0.3">
      <c r="A152" s="18" t="s">
        <v>226</v>
      </c>
    </row>
    <row r="153" spans="1:1" x14ac:dyDescent="0.3">
      <c r="A153" s="18" t="s">
        <v>227</v>
      </c>
    </row>
    <row r="154" spans="1:1" x14ac:dyDescent="0.3">
      <c r="A154" s="18" t="s">
        <v>228</v>
      </c>
    </row>
    <row r="155" spans="1:1" x14ac:dyDescent="0.3">
      <c r="A155" s="17" t="s">
        <v>229</v>
      </c>
    </row>
    <row r="156" spans="1:1" x14ac:dyDescent="0.3">
      <c r="A156" s="18" t="s">
        <v>230</v>
      </c>
    </row>
    <row r="157" spans="1:1" x14ac:dyDescent="0.3">
      <c r="A157" s="18" t="s">
        <v>231</v>
      </c>
    </row>
    <row r="158" spans="1:1" x14ac:dyDescent="0.3">
      <c r="A158" s="18" t="s">
        <v>232</v>
      </c>
    </row>
    <row r="159" spans="1:1" x14ac:dyDescent="0.3">
      <c r="A159" s="18" t="s">
        <v>233</v>
      </c>
    </row>
    <row r="160" spans="1:1" x14ac:dyDescent="0.3">
      <c r="A160" s="18" t="s">
        <v>234</v>
      </c>
    </row>
    <row r="161" spans="1:1" x14ac:dyDescent="0.3">
      <c r="A161" s="18" t="s">
        <v>235</v>
      </c>
    </row>
    <row r="162" spans="1:1" x14ac:dyDescent="0.3">
      <c r="A162" s="18" t="s">
        <v>236</v>
      </c>
    </row>
    <row r="163" spans="1:1" x14ac:dyDescent="0.3">
      <c r="A163" s="18" t="s">
        <v>237</v>
      </c>
    </row>
    <row r="164" spans="1:1" x14ac:dyDescent="0.3">
      <c r="A164" s="18" t="s">
        <v>238</v>
      </c>
    </row>
    <row r="165" spans="1:1" x14ac:dyDescent="0.3">
      <c r="A165" s="18" t="s">
        <v>239</v>
      </c>
    </row>
    <row r="166" spans="1:1" x14ac:dyDescent="0.3">
      <c r="A166" s="18" t="s">
        <v>240</v>
      </c>
    </row>
    <row r="167" spans="1:1" x14ac:dyDescent="0.3">
      <c r="A167" s="18" t="s">
        <v>241</v>
      </c>
    </row>
    <row r="168" spans="1:1" x14ac:dyDescent="0.3">
      <c r="A168" s="18" t="s">
        <v>242</v>
      </c>
    </row>
    <row r="169" spans="1:1" x14ac:dyDescent="0.3">
      <c r="A169" s="18" t="s">
        <v>243</v>
      </c>
    </row>
    <row r="170" spans="1:1" x14ac:dyDescent="0.3">
      <c r="A170" s="18" t="s">
        <v>244</v>
      </c>
    </row>
    <row r="171" spans="1:1" x14ac:dyDescent="0.3">
      <c r="A171" s="18" t="s">
        <v>245</v>
      </c>
    </row>
    <row r="172" spans="1:1" x14ac:dyDescent="0.3">
      <c r="A172" s="18" t="s">
        <v>246</v>
      </c>
    </row>
    <row r="173" spans="1:1" x14ac:dyDescent="0.3">
      <c r="A173" s="18" t="s">
        <v>247</v>
      </c>
    </row>
    <row r="174" spans="1:1" x14ac:dyDescent="0.3">
      <c r="A174" s="17" t="s">
        <v>248</v>
      </c>
    </row>
    <row r="175" spans="1:1" x14ac:dyDescent="0.3">
      <c r="A175" s="18" t="s">
        <v>249</v>
      </c>
    </row>
    <row r="176" spans="1:1" x14ac:dyDescent="0.3">
      <c r="A176" s="17" t="s">
        <v>250</v>
      </c>
    </row>
    <row r="177" spans="1:1" x14ac:dyDescent="0.3">
      <c r="A177" s="18" t="s">
        <v>251</v>
      </c>
    </row>
    <row r="178" spans="1:1" x14ac:dyDescent="0.3">
      <c r="A178" s="18" t="s">
        <v>252</v>
      </c>
    </row>
    <row r="179" spans="1:1" x14ac:dyDescent="0.3">
      <c r="A179" s="18" t="s">
        <v>253</v>
      </c>
    </row>
    <row r="180" spans="1:1" x14ac:dyDescent="0.3">
      <c r="A180" s="17" t="s">
        <v>254</v>
      </c>
    </row>
    <row r="181" spans="1:1" x14ac:dyDescent="0.3">
      <c r="A181" s="18" t="s">
        <v>255</v>
      </c>
    </row>
    <row r="182" spans="1:1" x14ac:dyDescent="0.3">
      <c r="A182" s="18" t="s">
        <v>256</v>
      </c>
    </row>
    <row r="183" spans="1:1" x14ac:dyDescent="0.3">
      <c r="A183" s="18" t="s">
        <v>257</v>
      </c>
    </row>
    <row r="184" spans="1:1" x14ac:dyDescent="0.3">
      <c r="A184" s="18" t="s">
        <v>258</v>
      </c>
    </row>
    <row r="185" spans="1:1" x14ac:dyDescent="0.3">
      <c r="A185" s="18" t="s">
        <v>259</v>
      </c>
    </row>
    <row r="186" spans="1:1" x14ac:dyDescent="0.3">
      <c r="A186" s="18" t="s">
        <v>260</v>
      </c>
    </row>
    <row r="187" spans="1:1" x14ac:dyDescent="0.3">
      <c r="A187" s="18" t="s">
        <v>261</v>
      </c>
    </row>
    <row r="188" spans="1:1" x14ac:dyDescent="0.3">
      <c r="A188" s="18" t="s">
        <v>262</v>
      </c>
    </row>
    <row r="189" spans="1:1" x14ac:dyDescent="0.3">
      <c r="A189" s="18" t="s">
        <v>263</v>
      </c>
    </row>
    <row r="190" spans="1:1" x14ac:dyDescent="0.3">
      <c r="A190" s="18" t="s">
        <v>264</v>
      </c>
    </row>
    <row r="191" spans="1:1" x14ac:dyDescent="0.3">
      <c r="A191" s="18" t="s">
        <v>265</v>
      </c>
    </row>
    <row r="192" spans="1:1" x14ac:dyDescent="0.3">
      <c r="A192" s="18" t="s">
        <v>266</v>
      </c>
    </row>
    <row r="193" spans="1:1" x14ac:dyDescent="0.3">
      <c r="A193" s="18" t="s">
        <v>267</v>
      </c>
    </row>
    <row r="194" spans="1:1" x14ac:dyDescent="0.3">
      <c r="A194" s="18" t="s">
        <v>268</v>
      </c>
    </row>
    <row r="195" spans="1:1" x14ac:dyDescent="0.3">
      <c r="A195" s="18" t="s">
        <v>269</v>
      </c>
    </row>
    <row r="196" spans="1:1" x14ac:dyDescent="0.3">
      <c r="A196" s="18" t="s">
        <v>270</v>
      </c>
    </row>
    <row r="197" spans="1:1" x14ac:dyDescent="0.3">
      <c r="A197" s="18" t="s">
        <v>271</v>
      </c>
    </row>
    <row r="198" spans="1:1" x14ac:dyDescent="0.3">
      <c r="A198" s="18" t="s">
        <v>272</v>
      </c>
    </row>
    <row r="199" spans="1:1" x14ac:dyDescent="0.3">
      <c r="A199" s="18" t="s">
        <v>273</v>
      </c>
    </row>
    <row r="200" spans="1:1" x14ac:dyDescent="0.3">
      <c r="A200" s="18" t="s">
        <v>274</v>
      </c>
    </row>
    <row r="201" spans="1:1" x14ac:dyDescent="0.3">
      <c r="A201" s="18" t="s">
        <v>275</v>
      </c>
    </row>
    <row r="202" spans="1:1" x14ac:dyDescent="0.3">
      <c r="A202" s="18" t="s">
        <v>276</v>
      </c>
    </row>
    <row r="203" spans="1:1" x14ac:dyDescent="0.3">
      <c r="A203" s="18" t="s">
        <v>277</v>
      </c>
    </row>
    <row r="204" spans="1:1" x14ac:dyDescent="0.3">
      <c r="A204" s="18" t="s">
        <v>278</v>
      </c>
    </row>
    <row r="205" spans="1:1" x14ac:dyDescent="0.3">
      <c r="A205" s="18" t="s">
        <v>279</v>
      </c>
    </row>
    <row r="206" spans="1:1" x14ac:dyDescent="0.3">
      <c r="A206" s="17" t="s">
        <v>280</v>
      </c>
    </row>
    <row r="207" spans="1:1" x14ac:dyDescent="0.3">
      <c r="A207" s="18" t="s">
        <v>281</v>
      </c>
    </row>
    <row r="208" spans="1:1" x14ac:dyDescent="0.3">
      <c r="A208" s="18" t="s">
        <v>282</v>
      </c>
    </row>
    <row r="209" spans="1:1" x14ac:dyDescent="0.3">
      <c r="A209" s="18" t="s">
        <v>283</v>
      </c>
    </row>
    <row r="210" spans="1:1" x14ac:dyDescent="0.3">
      <c r="A210" s="17" t="s">
        <v>284</v>
      </c>
    </row>
    <row r="211" spans="1:1" x14ac:dyDescent="0.3">
      <c r="A211" s="18" t="s">
        <v>285</v>
      </c>
    </row>
    <row r="212" spans="1:1" x14ac:dyDescent="0.3">
      <c r="A212" s="18" t="s">
        <v>286</v>
      </c>
    </row>
    <row r="213" spans="1:1" x14ac:dyDescent="0.3">
      <c r="A213" s="18" t="s">
        <v>287</v>
      </c>
    </row>
    <row r="214" spans="1:1" x14ac:dyDescent="0.3">
      <c r="A214" s="17" t="s">
        <v>288</v>
      </c>
    </row>
    <row r="215" spans="1:1" x14ac:dyDescent="0.3">
      <c r="A215" s="18" t="s">
        <v>289</v>
      </c>
    </row>
    <row r="216" spans="1:1" x14ac:dyDescent="0.3">
      <c r="A216" s="18" t="s">
        <v>290</v>
      </c>
    </row>
    <row r="217" spans="1:1" x14ac:dyDescent="0.3">
      <c r="A217" s="18" t="s">
        <v>291</v>
      </c>
    </row>
    <row r="218" spans="1:1" x14ac:dyDescent="0.3">
      <c r="A218" s="18" t="s">
        <v>292</v>
      </c>
    </row>
    <row r="219" spans="1:1" x14ac:dyDescent="0.3">
      <c r="A219" s="18" t="s">
        <v>293</v>
      </c>
    </row>
    <row r="220" spans="1:1" x14ac:dyDescent="0.3">
      <c r="A220" s="18" t="s">
        <v>294</v>
      </c>
    </row>
    <row r="221" spans="1:1" x14ac:dyDescent="0.3">
      <c r="A221" s="18" t="s">
        <v>295</v>
      </c>
    </row>
    <row r="222" spans="1:1" x14ac:dyDescent="0.3">
      <c r="A222" s="18" t="s">
        <v>296</v>
      </c>
    </row>
    <row r="223" spans="1:1" x14ac:dyDescent="0.3">
      <c r="A223" s="18" t="s">
        <v>297</v>
      </c>
    </row>
    <row r="224" spans="1:1" x14ac:dyDescent="0.3">
      <c r="A224" s="18" t="s">
        <v>298</v>
      </c>
    </row>
    <row r="225" spans="1:1" x14ac:dyDescent="0.3">
      <c r="A225" s="18" t="s">
        <v>299</v>
      </c>
    </row>
    <row r="226" spans="1:1" x14ac:dyDescent="0.3">
      <c r="A226" s="18" t="s">
        <v>300</v>
      </c>
    </row>
    <row r="227" spans="1:1" x14ac:dyDescent="0.3">
      <c r="A227" s="18" t="s">
        <v>301</v>
      </c>
    </row>
    <row r="228" spans="1:1" x14ac:dyDescent="0.3">
      <c r="A228" s="18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Inicio</vt:lpstr>
      <vt:lpstr>Consolidado grupales</vt:lpstr>
      <vt:lpstr>Base individuos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Hernandez Parra</dc:creator>
  <cp:lastModifiedBy>Daniel</cp:lastModifiedBy>
  <dcterms:created xsi:type="dcterms:W3CDTF">2019-04-14T21:25:49Z</dcterms:created>
  <dcterms:modified xsi:type="dcterms:W3CDTF">2023-07-10T05:34:14Z</dcterms:modified>
</cp:coreProperties>
</file>